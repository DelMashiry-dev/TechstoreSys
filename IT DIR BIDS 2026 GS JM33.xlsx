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sch\Desktop\Bids\"/>
    </mc:Choice>
  </mc:AlternateContent>
  <bookViews>
    <workbookView minimized="1" xWindow="-120" yWindow="-120" windowWidth="20730" windowHeight="11760" firstSheet="1" activeTab="2"/>
  </bookViews>
  <sheets>
    <sheet name="Main Bids 2018" sheetId="1" state="hidden" r:id="rId1"/>
    <sheet name="GL 2200600002" sheetId="2" r:id="rId2"/>
    <sheet name="toner 2026" sheetId="17" r:id="rId3"/>
    <sheet name="PARTS 2026" sheetId="16" r:id="rId4"/>
    <sheet name="TECH EQPT 2026" sheetId="18" r:id="rId5"/>
    <sheet name="SOFTWARE 2026" sheetId="20" r:id="rId6"/>
    <sheet name="MAINT EQPT TECH 2026" sheetId="19" r:id="rId7"/>
    <sheet name="ICT 2026" sheetId="21" r:id="rId8"/>
    <sheet name="SUMMARY" sheetId="22" r:id="rId9"/>
    <sheet name="HRMIS" sheetId="23" r:id="rId10"/>
    <sheet name="Sheet2" sheetId="15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7" l="1"/>
  <c r="F150" i="17"/>
  <c r="F147" i="17"/>
  <c r="F148" i="17"/>
  <c r="F149" i="17"/>
  <c r="F146" i="17"/>
  <c r="F152" i="17" l="1"/>
  <c r="F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F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F114" i="21"/>
  <c r="F46" i="20"/>
  <c r="G26" i="20"/>
  <c r="G27" i="20"/>
  <c r="G30" i="21"/>
  <c r="G29" i="21"/>
  <c r="G28" i="21"/>
  <c r="G39" i="21"/>
  <c r="G38" i="21"/>
  <c r="G27" i="21"/>
  <c r="G432" i="2" l="1"/>
  <c r="G305" i="2"/>
  <c r="G59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G46" i="23"/>
  <c r="E45" i="23"/>
  <c r="G45" i="23" s="1"/>
  <c r="E44" i="23"/>
  <c r="G44" i="23" s="1"/>
  <c r="E43" i="23"/>
  <c r="G43" i="23" s="1"/>
  <c r="E42" i="23"/>
  <c r="G42" i="23" s="1"/>
  <c r="E41" i="23"/>
  <c r="G41" i="23" s="1"/>
  <c r="E40" i="23"/>
  <c r="G40" i="23" s="1"/>
  <c r="E39" i="23"/>
  <c r="G39" i="23" s="1"/>
  <c r="G31" i="23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F17" i="23"/>
  <c r="F16" i="23"/>
  <c r="F9" i="23"/>
  <c r="F8" i="23"/>
  <c r="F11" i="23" s="1"/>
  <c r="G60" i="23" l="1"/>
  <c r="G62" i="23" s="1"/>
  <c r="F19" i="23"/>
  <c r="G47" i="23"/>
  <c r="G49" i="23" s="1"/>
  <c r="G32" i="23"/>
  <c r="G34" i="23" s="1"/>
  <c r="G64" i="23" s="1"/>
  <c r="D10" i="22" l="1"/>
  <c r="D13" i="22" s="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7" i="21"/>
  <c r="G36" i="21"/>
  <c r="G35" i="21"/>
  <c r="G34" i="21"/>
  <c r="G33" i="21"/>
  <c r="G32" i="21"/>
  <c r="G31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F10" i="19"/>
  <c r="G9" i="19"/>
  <c r="G8" i="19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17" i="18"/>
  <c r="H16" i="18"/>
  <c r="H15" i="18"/>
  <c r="H14" i="18"/>
  <c r="H13" i="18"/>
  <c r="H12" i="18"/>
  <c r="H11" i="18"/>
  <c r="H10" i="18"/>
  <c r="H9" i="18"/>
  <c r="H8" i="18"/>
  <c r="H7" i="18"/>
  <c r="G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74" i="16" s="1"/>
  <c r="G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137" i="17" l="1"/>
  <c r="G115" i="21"/>
  <c r="H18" i="18"/>
  <c r="G47" i="20"/>
  <c r="G11" i="19"/>
  <c r="F316" i="2"/>
  <c r="F257" i="2"/>
  <c r="F233" i="2"/>
  <c r="F136" i="2"/>
  <c r="G315" i="2"/>
  <c r="G314" i="2"/>
  <c r="G252" i="2"/>
  <c r="G253" i="2"/>
  <c r="G254" i="2"/>
  <c r="G255" i="2"/>
  <c r="G256" i="2"/>
  <c r="G251" i="2"/>
  <c r="G248" i="2"/>
  <c r="G249" i="2"/>
  <c r="G250" i="2"/>
  <c r="G247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125" i="2"/>
  <c r="G126" i="2"/>
  <c r="G127" i="2"/>
  <c r="G128" i="2"/>
  <c r="G129" i="2"/>
  <c r="G130" i="2"/>
  <c r="G131" i="2"/>
  <c r="G132" i="2"/>
  <c r="G133" i="2"/>
  <c r="G134" i="2"/>
  <c r="G135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24" i="2"/>
  <c r="G123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7" i="2"/>
  <c r="G317" i="2" l="1"/>
  <c r="G258" i="2"/>
  <c r="G137" i="2"/>
  <c r="G234" i="2"/>
  <c r="H158" i="1" l="1"/>
  <c r="H75" i="1"/>
  <c r="H74" i="1"/>
  <c r="H178" i="1" l="1"/>
  <c r="H177" i="1"/>
  <c r="H176" i="1"/>
  <c r="H175" i="1"/>
  <c r="H174" i="1"/>
  <c r="H173" i="1"/>
  <c r="H172" i="1"/>
  <c r="H171" i="1"/>
  <c r="H170" i="1"/>
  <c r="H169" i="1"/>
  <c r="H168" i="1"/>
  <c r="H167" i="1"/>
  <c r="H157" i="1"/>
  <c r="H159" i="1" s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76" i="1" l="1"/>
  <c r="H151" i="1"/>
  <c r="H99" i="1"/>
  <c r="H179" i="1"/>
</calcChain>
</file>

<file path=xl/sharedStrings.xml><?xml version="1.0" encoding="utf-8"?>
<sst xmlns="http://schemas.openxmlformats.org/spreadsheetml/2006/main" count="1371" uniqueCount="596">
  <si>
    <t>SER</t>
  </si>
  <si>
    <t>COST CENTRE</t>
  </si>
  <si>
    <t>GL ACC</t>
  </si>
  <si>
    <t>DESCRIPTION</t>
  </si>
  <si>
    <t>QTY</t>
  </si>
  <si>
    <t>UNIT COST</t>
  </si>
  <si>
    <t>TOTAL COST</t>
  </si>
  <si>
    <t>REMARKS</t>
  </si>
  <si>
    <t>(a)</t>
  </si>
  <si>
    <t>(b)</t>
  </si>
  <si>
    <t>(c )</t>
  </si>
  <si>
    <t>(d)</t>
  </si>
  <si>
    <t>(e)</t>
  </si>
  <si>
    <t>(f)</t>
  </si>
  <si>
    <t>(g)</t>
  </si>
  <si>
    <t>(h)</t>
  </si>
  <si>
    <t>(j)</t>
  </si>
  <si>
    <t>HP CE505A toner</t>
  </si>
  <si>
    <t>HP CE278A toner</t>
  </si>
  <si>
    <t>HP CE255A toner</t>
  </si>
  <si>
    <t>HP CE310A toner</t>
  </si>
  <si>
    <t>HP CE311A toner</t>
  </si>
  <si>
    <t>HP CE312A toner</t>
  </si>
  <si>
    <t>HP CE313A toner</t>
  </si>
  <si>
    <t>HP CE320A toner</t>
  </si>
  <si>
    <t>HP CE322A toner</t>
  </si>
  <si>
    <t>HP CE321A toner</t>
  </si>
  <si>
    <t>HP CE323A toner</t>
  </si>
  <si>
    <t>HP CE285A toner</t>
  </si>
  <si>
    <t>HP CC364A toner</t>
  </si>
  <si>
    <t>HP CB540A toner</t>
  </si>
  <si>
    <t>HP CB541A toner</t>
  </si>
  <si>
    <t>HP CB542A toner</t>
  </si>
  <si>
    <t>HP CB543A toner</t>
  </si>
  <si>
    <t>HP CF210A toner</t>
  </si>
  <si>
    <t>HP CF211A toner</t>
  </si>
  <si>
    <t>HP CF212A toner</t>
  </si>
  <si>
    <t>HP CF280A toner</t>
  </si>
  <si>
    <t>HP CF213A toner</t>
  </si>
  <si>
    <t>HP Ink 901colour</t>
  </si>
  <si>
    <t>HP Ink 901black</t>
  </si>
  <si>
    <t>Xerox 3100 toner</t>
  </si>
  <si>
    <t>Xerox 3124 toner</t>
  </si>
  <si>
    <t>Xerox 3300 toner</t>
  </si>
  <si>
    <t>Flash disk</t>
  </si>
  <si>
    <t>Computer gummed labels</t>
  </si>
  <si>
    <t>Data cartidges</t>
  </si>
  <si>
    <t>Blank DVDs/CDs</t>
  </si>
  <si>
    <t>Line printers</t>
  </si>
  <si>
    <t>Medium laser printers</t>
  </si>
  <si>
    <t>Heavy duty laserjet printers</t>
  </si>
  <si>
    <t>Scanners</t>
  </si>
  <si>
    <t>Multi-media projectors</t>
  </si>
  <si>
    <t>Small office 4 in 1 printers</t>
  </si>
  <si>
    <t>Laptops</t>
  </si>
  <si>
    <t>Server</t>
  </si>
  <si>
    <t>RJ45 connectors (male)</t>
  </si>
  <si>
    <t>USB mouse</t>
  </si>
  <si>
    <t>Tablets</t>
  </si>
  <si>
    <t>HDD Sata IDE</t>
  </si>
  <si>
    <t>External HDD</t>
  </si>
  <si>
    <t>ATX power supply</t>
  </si>
  <si>
    <t xml:space="preserve"> HP 2055 fuser films</t>
  </si>
  <si>
    <t>HP 2035 fuser films</t>
  </si>
  <si>
    <t>HP 4014 fuser films</t>
  </si>
  <si>
    <t>HP 2035 fuser units</t>
  </si>
  <si>
    <t>HP 2055 fuser units</t>
  </si>
  <si>
    <t>HP 2055 fuser rollers</t>
  </si>
  <si>
    <t>HP 2035 fuser rollers</t>
  </si>
  <si>
    <t>HP 2055 pick-up rollers</t>
  </si>
  <si>
    <t>HP 2035 pick-up rollers</t>
  </si>
  <si>
    <t>HP 4014 pick-up rollers</t>
  </si>
  <si>
    <t xml:space="preserve">External cd/dvd writer </t>
  </si>
  <si>
    <t>Test meter batteries</t>
  </si>
  <si>
    <t>13 amp fuses</t>
  </si>
  <si>
    <t>25 amp fuses</t>
  </si>
  <si>
    <t>3 pin square plugs</t>
  </si>
  <si>
    <t>24 port ethernet switch</t>
  </si>
  <si>
    <t>Drum UTP cats cable</t>
  </si>
  <si>
    <t>4 way surge protectors</t>
  </si>
  <si>
    <t>Processor cooling fans</t>
  </si>
  <si>
    <t>Blower</t>
  </si>
  <si>
    <t>USB wireless adaptor</t>
  </si>
  <si>
    <t>Super glue</t>
  </si>
  <si>
    <t>Plastic steel (300ml)</t>
  </si>
  <si>
    <t>Digital test meter (fluke)</t>
  </si>
  <si>
    <t>USB external modem</t>
  </si>
  <si>
    <t>HP laptop batteries</t>
  </si>
  <si>
    <t>Media converters</t>
  </si>
  <si>
    <t>Mutton cloth rolls</t>
  </si>
  <si>
    <t>Generator Plant (service)</t>
  </si>
  <si>
    <t>Software licences to Alpha Systems</t>
  </si>
  <si>
    <t>Subscription fees to CSZ</t>
  </si>
  <si>
    <t>Linux software</t>
  </si>
  <si>
    <t>Oracle database software</t>
  </si>
  <si>
    <t>Memory modules RAM</t>
  </si>
  <si>
    <t>Isoprophile alcohol 20 x 20 ltrs</t>
  </si>
  <si>
    <t>SER NO</t>
  </si>
  <si>
    <t xml:space="preserve">SER NO </t>
  </si>
  <si>
    <t>SUB TOTAL</t>
  </si>
  <si>
    <t>ITEM DESCRIPTION</t>
  </si>
  <si>
    <t xml:space="preserve">ITEM DESCRIPTION </t>
  </si>
  <si>
    <t>(k)</t>
  </si>
  <si>
    <t xml:space="preserve">DESRIPTION </t>
  </si>
  <si>
    <t>IT DIR</t>
  </si>
  <si>
    <t xml:space="preserve">IT DIR </t>
  </si>
  <si>
    <t>(C )</t>
  </si>
  <si>
    <t>C/CENTRE</t>
  </si>
  <si>
    <t>UNIT</t>
  </si>
  <si>
    <t>MAINTENANCE OF TECH &amp; OFFICE  EQUIPMENT</t>
  </si>
  <si>
    <t>HP CF 325X toner</t>
  </si>
  <si>
    <t>HP Ink 652 black</t>
  </si>
  <si>
    <t>HP Ink 652 colour</t>
  </si>
  <si>
    <t>P 8215 Printronix ribbons</t>
  </si>
  <si>
    <t>HP CF 400A toner</t>
  </si>
  <si>
    <t>HP CF 401A toner</t>
  </si>
  <si>
    <t>HP CF 402A toner</t>
  </si>
  <si>
    <t>HP CF403A toner</t>
  </si>
  <si>
    <t>HP CF 226A toner</t>
  </si>
  <si>
    <t>HP CF 410A toner</t>
  </si>
  <si>
    <t>HP CF 411A toner</t>
  </si>
  <si>
    <t>HP CF 412A toner</t>
  </si>
  <si>
    <t>HP CF 413A toner</t>
  </si>
  <si>
    <t>HP CE270A toner</t>
  </si>
  <si>
    <t>HP CE271A toner</t>
  </si>
  <si>
    <t>HP CE272A toner</t>
  </si>
  <si>
    <t>HP CE 273A toner</t>
  </si>
  <si>
    <t>XEROX C60-C70 drum cartridge color(R3)</t>
  </si>
  <si>
    <t>XEROX C60-C70 drum cartridges color (R2)</t>
  </si>
  <si>
    <t>XEROX C60-C70 drum cartridge color (R1)</t>
  </si>
  <si>
    <t>XEROX C60-C70 drum cartridge black (R1)</t>
  </si>
  <si>
    <t>XEROX C60-C70 toner yellow</t>
  </si>
  <si>
    <t>XEROX C60-C70 toner cyan</t>
  </si>
  <si>
    <t>XEROX C60-C70 toner meganta</t>
  </si>
  <si>
    <t>XEROX C60-C70 toner black K2</t>
  </si>
  <si>
    <t>XEROX C60-C70 toner black K1</t>
  </si>
  <si>
    <t>XEROX C70 Waste toner container</t>
  </si>
  <si>
    <t>HP CE283A toner</t>
  </si>
  <si>
    <t>HP Q7516A toner</t>
  </si>
  <si>
    <t>Lucia ink PF1-707 Bk 700ml (black)</t>
  </si>
  <si>
    <t>Lucia ink PF1-707 MBK 700ml (black)</t>
  </si>
  <si>
    <t>Lucia ink PF1-707 M 700ml (magenta)</t>
  </si>
  <si>
    <t>Lucia ink PF1-707 Y 700ml (yellow)</t>
  </si>
  <si>
    <t>Lucia ink PF1-707 C 700ml (cyan)</t>
  </si>
  <si>
    <t>Desktop Corei i3 motherboard</t>
  </si>
  <si>
    <t xml:space="preserve">Laptop LCD </t>
  </si>
  <si>
    <t>HP fuser film M806DN</t>
  </si>
  <si>
    <t>HP Pro M402 dn fuser rollers</t>
  </si>
  <si>
    <t>HP Pro M 402dn   fuser units</t>
  </si>
  <si>
    <t>HP Pro M402 dn fuser films</t>
  </si>
  <si>
    <t>HP Pro 402 fuser films</t>
  </si>
  <si>
    <t>Anti-virus (ZNA) 3 Users</t>
  </si>
  <si>
    <t xml:space="preserve">HP Desktop Core i3 </t>
  </si>
  <si>
    <t xml:space="preserve">SER </t>
  </si>
  <si>
    <r>
      <t>Networking Tool Box(</t>
    </r>
    <r>
      <rPr>
        <sz val="9"/>
        <color theme="1"/>
        <rFont val="Tahoma"/>
        <family val="2"/>
      </rPr>
      <t>with full kit</t>
    </r>
    <r>
      <rPr>
        <sz val="12"/>
        <color theme="1"/>
        <rFont val="Tahoma"/>
        <family val="2"/>
      </rPr>
      <t>)</t>
    </r>
  </si>
  <si>
    <t>UPS Heavy Duty</t>
  </si>
  <si>
    <r>
      <t>Network cables</t>
    </r>
    <r>
      <rPr>
        <sz val="11"/>
        <color theme="1"/>
        <rFont val="Tahoma"/>
        <family val="2"/>
      </rPr>
      <t xml:space="preserve"> CAT 5 &amp; Cat 6 </t>
    </r>
    <r>
      <rPr>
        <sz val="12"/>
        <color theme="1"/>
        <rFont val="Tahoma"/>
        <family val="2"/>
      </rPr>
      <t>(</t>
    </r>
    <r>
      <rPr>
        <sz val="9"/>
        <color theme="1"/>
        <rFont val="Tahoma"/>
        <family val="2"/>
      </rPr>
      <t>drums</t>
    </r>
    <r>
      <rPr>
        <sz val="12"/>
        <color theme="1"/>
        <rFont val="Tahoma"/>
        <family val="2"/>
      </rPr>
      <t>)</t>
    </r>
  </si>
  <si>
    <t>48 Port Switch</t>
  </si>
  <si>
    <r>
      <t>USB keyboards (</t>
    </r>
    <r>
      <rPr>
        <sz val="11"/>
        <color theme="1"/>
        <rFont val="Tahoma"/>
        <family val="2"/>
      </rPr>
      <t>for laptop &amp; desktop</t>
    </r>
    <r>
      <rPr>
        <sz val="12"/>
        <color theme="1"/>
        <rFont val="Tahoma"/>
        <family val="2"/>
      </rPr>
      <t>)</t>
    </r>
  </si>
  <si>
    <r>
      <rPr>
        <sz val="11"/>
        <color theme="1"/>
        <rFont val="Tahoma"/>
        <family val="2"/>
      </rPr>
      <t>Core i3 motherboards</t>
    </r>
    <r>
      <rPr>
        <sz val="8"/>
        <color theme="1"/>
        <rFont val="Tahoma"/>
        <family val="2"/>
      </rPr>
      <t xml:space="preserve"> ( laptops &amp; desktop)</t>
    </r>
  </si>
  <si>
    <t>Soldering wire Rollers</t>
  </si>
  <si>
    <t>DVD ROM IDE External</t>
  </si>
  <si>
    <t>DVD writer sata External</t>
  </si>
  <si>
    <t>Laptop HDD 1TB SATA</t>
  </si>
  <si>
    <t>Server Anti-Virus 3 Copies</t>
  </si>
  <si>
    <t>Final Cut Pro for Mac</t>
  </si>
  <si>
    <t>Corel Draw for Mac</t>
  </si>
  <si>
    <t>Adore Photoshop studio</t>
  </si>
  <si>
    <t>Video Convertor Total</t>
  </si>
  <si>
    <t>Microsoft Office 2016</t>
  </si>
  <si>
    <t xml:space="preserve">UPS Desktop </t>
  </si>
  <si>
    <t>( c)</t>
  </si>
  <si>
    <t xml:space="preserve"> ( e )</t>
  </si>
  <si>
    <t>Parts Technical Equipment</t>
  </si>
  <si>
    <t>Renewal of Computer Software Licences</t>
  </si>
  <si>
    <t>Visual basic 2017</t>
  </si>
  <si>
    <t xml:space="preserve"> </t>
  </si>
  <si>
    <t>INFORMATION TECHNOLOGY DIRECTORATE BIDS FOR FY 2019</t>
  </si>
  <si>
    <t>IT DIR COMPUTER EQUIPMENT AND COMPUTER SOFTWARE REQUIREMENT FOR THE YEAR 2019</t>
  </si>
  <si>
    <t>CF350A (130A)</t>
  </si>
  <si>
    <t>INFORMATION,COMPUTER &amp; TELECOMS (ICT) EQUIP-ACQISITION</t>
  </si>
  <si>
    <t>Service of Heavy duty line printers</t>
  </si>
  <si>
    <t xml:space="preserve"> COMPUTER CONSUMABLES</t>
  </si>
  <si>
    <t>Final Cut Pro for Mac (PRD)</t>
  </si>
  <si>
    <t>Corel Draw for Mac (PRD)</t>
  </si>
  <si>
    <t>Power Director Video Editor (PRD)</t>
  </si>
  <si>
    <t>Video Convertor Total (PRD)</t>
  </si>
  <si>
    <t>Multi-media Pointers</t>
  </si>
  <si>
    <t>HP Server Generation 11</t>
  </si>
  <si>
    <t>Face Plates</t>
  </si>
  <si>
    <t>Cat 5 outdoor cable 500m drum</t>
  </si>
  <si>
    <t>Cat6 indoor cable 500m drum</t>
  </si>
  <si>
    <t>Screws and fisher plugs</t>
  </si>
  <si>
    <t>RJ45 boots</t>
  </si>
  <si>
    <t>USB keyboards (for laptop &amp; desktop)</t>
  </si>
  <si>
    <t>Patch Panels</t>
  </si>
  <si>
    <t>( e)</t>
  </si>
  <si>
    <t>Cisco 24 Port Switch</t>
  </si>
  <si>
    <t>SQL Server Enterprise 2019</t>
  </si>
  <si>
    <t>Microsoft Exchange Server 2019</t>
  </si>
  <si>
    <t xml:space="preserve">MPRO Systems Development </t>
  </si>
  <si>
    <t>Encryption Software</t>
  </si>
  <si>
    <t>CISCO ASA Firewall rack mountable</t>
  </si>
  <si>
    <t xml:space="preserve">Cisco Router </t>
  </si>
  <si>
    <t>12U Cabinets</t>
  </si>
  <si>
    <t>HP CF226A toner</t>
  </si>
  <si>
    <t>HP CE280A toner</t>
  </si>
  <si>
    <t>HP CE237A toner</t>
  </si>
  <si>
    <t>Samsung 708L toner</t>
  </si>
  <si>
    <t>HP CF325X toner</t>
  </si>
  <si>
    <t>HP 650 inkjet colour</t>
  </si>
  <si>
    <t>HP 650 inkjet black</t>
  </si>
  <si>
    <t>Canon C-Exv42 black</t>
  </si>
  <si>
    <t>HP CE281A toner</t>
  </si>
  <si>
    <t>Heavy duty line printers</t>
  </si>
  <si>
    <t>Core i3 motherboards laptops</t>
  </si>
  <si>
    <t>COMPUTER CONSUMABLES</t>
  </si>
  <si>
    <t>HP CE256A toner</t>
  </si>
  <si>
    <t>HP CF259A toner</t>
  </si>
  <si>
    <t>HP CF 214A toner</t>
  </si>
  <si>
    <t>HP CE230A toner</t>
  </si>
  <si>
    <t>HP CE232A toner</t>
  </si>
  <si>
    <t>Canon 451XL black</t>
  </si>
  <si>
    <t>Canon 451XL cyan</t>
  </si>
  <si>
    <t>Canon 451XL magenta</t>
  </si>
  <si>
    <t>Canon 451XL yellow</t>
  </si>
  <si>
    <t>Canon EXV54 black</t>
  </si>
  <si>
    <t>Canon EXV54 cyan</t>
  </si>
  <si>
    <t>Canon EXV54 magenta</t>
  </si>
  <si>
    <t>Canon EXV54 yellow</t>
  </si>
  <si>
    <t>Olivetti B1237 black</t>
  </si>
  <si>
    <t>Olivetti B1238 cyan</t>
  </si>
  <si>
    <t>USB Flash Memory</t>
  </si>
  <si>
    <t xml:space="preserve">External Hard Disk Drive </t>
  </si>
  <si>
    <t>HP CE410A toner   (305)</t>
  </si>
  <si>
    <t>HP CE411A toner   (305)</t>
  </si>
  <si>
    <t>HP CE412A toner   (305)</t>
  </si>
  <si>
    <t>HP CE413A toner   (305)</t>
  </si>
  <si>
    <t xml:space="preserve">INFORMATION,COMPUTERS &amp; TELECOMMUNICATION </t>
  </si>
  <si>
    <t>(ICT) EQUIPMENT-ACQUISITIONS</t>
  </si>
  <si>
    <t>Computer equipment</t>
  </si>
  <si>
    <t>Networking equipment</t>
  </si>
  <si>
    <t>RJ45 connectors (female) Crown modules</t>
  </si>
  <si>
    <t>Wall box</t>
  </si>
  <si>
    <t>Networking Tool Box(with full kit)</t>
  </si>
  <si>
    <t>Computer equipment spares</t>
  </si>
  <si>
    <t>Printer Spares</t>
  </si>
  <si>
    <t>HP pick pack roller M806DN</t>
  </si>
  <si>
    <t>HP fuser unit M806DN</t>
  </si>
  <si>
    <t>HP M725DN pick up paper roller</t>
  </si>
  <si>
    <t>HP M725DN fuser unit</t>
  </si>
  <si>
    <t>Tool Kit</t>
  </si>
  <si>
    <t>HP fuser elements M806DN</t>
  </si>
  <si>
    <t>ICT equipment</t>
  </si>
  <si>
    <t>Heavy Duty, Medium and small printers</t>
  </si>
  <si>
    <t>Photocopier Machines</t>
  </si>
  <si>
    <t>Payslip Printers</t>
  </si>
  <si>
    <t>Inkjets</t>
  </si>
  <si>
    <t>DVI Cables</t>
  </si>
  <si>
    <t>VGA Cables</t>
  </si>
  <si>
    <t>USB Cables</t>
  </si>
  <si>
    <t>Power Cables</t>
  </si>
  <si>
    <t>Slide movers</t>
  </si>
  <si>
    <t>1 X 4HMD Splitter</t>
  </si>
  <si>
    <t xml:space="preserve">HDMI Cables </t>
  </si>
  <si>
    <t>Consumables</t>
  </si>
  <si>
    <t>ICT Equipment</t>
  </si>
  <si>
    <t>Part Technical equipment</t>
  </si>
  <si>
    <t>SUMMARY</t>
  </si>
  <si>
    <t>HP CF 130A toner</t>
  </si>
  <si>
    <t xml:space="preserve">Canon C3025i waste toner cartridges </t>
  </si>
  <si>
    <t>HP CE 740A toner black        (307)</t>
  </si>
  <si>
    <t>HP CE 741A toner cyan        (307)</t>
  </si>
  <si>
    <t>HP CE 742A toner yellow      (307)</t>
  </si>
  <si>
    <t>HP CE 743A toner magenta   (307)</t>
  </si>
  <si>
    <t>HP Page Wide PRO 973/913A black</t>
  </si>
  <si>
    <t>HP Page Wide PRO 973/913A cyan</t>
  </si>
  <si>
    <t>HP Page Wide PRO 973/913A yellow</t>
  </si>
  <si>
    <t>HP Page Wide PRO 973/913A magenta</t>
  </si>
  <si>
    <t>XEROX C70 waste toner container</t>
  </si>
  <si>
    <t>Olivetti B1240 magenta</t>
  </si>
  <si>
    <t>Olivetti B1239 yellow</t>
  </si>
  <si>
    <t>TOTAL COST IN USD</t>
  </si>
  <si>
    <t>IT Workshop</t>
  </si>
  <si>
    <t>Printing Press</t>
  </si>
  <si>
    <t>Xerox Printing Press Machine</t>
  </si>
  <si>
    <t>Data Recovery Software</t>
  </si>
  <si>
    <t>Audio+Midi Interface for Streaming</t>
  </si>
  <si>
    <t>Interactive whiteboard 98 inch</t>
  </si>
  <si>
    <t>Infrared Touch Screen 55 inch</t>
  </si>
  <si>
    <t>200 inch large Monitor Touch Smart Board</t>
  </si>
  <si>
    <t>Video Conferencing Tele Presence Equipment</t>
  </si>
  <si>
    <t>Gigabit POE Splittter</t>
  </si>
  <si>
    <t xml:space="preserve">HP 2035 Maintanance kit </t>
  </si>
  <si>
    <t xml:space="preserve">HP Pro 402 Maintanance kit </t>
  </si>
  <si>
    <t>HP M607 Maintanance kit</t>
  </si>
  <si>
    <t>HP PRO 400 Maintanance Kit</t>
  </si>
  <si>
    <t>HP M806DN Maintanance kit</t>
  </si>
  <si>
    <t>HP MFP 725 Mainatanance kit</t>
  </si>
  <si>
    <t>HP PRO M426 FDW Maintanance Kit</t>
  </si>
  <si>
    <t>HP Colour Laserjet Pro MFP M477 fdw Maintanance kit</t>
  </si>
  <si>
    <t>HP Colour Laserjet Pro MFP M277 dw Maintanance kit</t>
  </si>
  <si>
    <t>Cimos Battery</t>
  </si>
  <si>
    <t>Storage Divices</t>
  </si>
  <si>
    <t>SSD 500G SATA</t>
  </si>
  <si>
    <t>Portable 2TB External  HDD</t>
  </si>
  <si>
    <t>Dual Bay HDD Dock SATA</t>
  </si>
  <si>
    <t>External HDD Flat Docking Station</t>
  </si>
  <si>
    <t>HDD to USB 2.0 Adapter Converter Cable</t>
  </si>
  <si>
    <t>ATX power supply units</t>
  </si>
  <si>
    <t>Hot Air Station</t>
  </si>
  <si>
    <t>Indoor Cisco AP (Access Point) Ceiling Plant</t>
  </si>
  <si>
    <t>Outdoor Cisco AP (Access Point)</t>
  </si>
  <si>
    <t>Laplink PC mover Ultimate 11</t>
  </si>
  <si>
    <t xml:space="preserve">Steller Data Recovery Software </t>
  </si>
  <si>
    <t>Projector lamp</t>
  </si>
  <si>
    <t>Power Supply Tester</t>
  </si>
  <si>
    <t>TOTAL IN USD</t>
  </si>
  <si>
    <t>Apple Mac Voucher Licence</t>
  </si>
  <si>
    <t xml:space="preserve">Mapping and Reasearch </t>
  </si>
  <si>
    <t>SSD 1TB SATA INTERNAL</t>
  </si>
  <si>
    <t>External HDD Adapter Kit for universal /2,5/3,5 inch HDD</t>
  </si>
  <si>
    <t>Test meter batteries AAA &amp; AA</t>
  </si>
  <si>
    <t>Cisco Switch 48 Ports Gigabit POE</t>
  </si>
  <si>
    <t>HP W2032A toner yellow (415)</t>
  </si>
  <si>
    <t>HP W2031A toner cyan (415)</t>
  </si>
  <si>
    <t>HP W2033A toner magenta (415)</t>
  </si>
  <si>
    <t>HP W2030A toner black (415)</t>
  </si>
  <si>
    <t>HP CF210A toner black (131)</t>
  </si>
  <si>
    <t>HP CF211A tone rcyan (131)</t>
  </si>
  <si>
    <t>HP CF212A toner yellow (131)</t>
  </si>
  <si>
    <t>HP CF213A toner magenta (131)</t>
  </si>
  <si>
    <t>HP CE410A toner black (410)</t>
  </si>
  <si>
    <t>HP CE411A toner cyan (410)</t>
  </si>
  <si>
    <t>HP CE412A toner yellow (410)</t>
  </si>
  <si>
    <t>HP CE413A toner magenta (410)</t>
  </si>
  <si>
    <t>HP CF400A toner black (201)</t>
  </si>
  <si>
    <t>HP CF401A toner cyan (201)</t>
  </si>
  <si>
    <t>HP CF402A toner yellow (201)</t>
  </si>
  <si>
    <t>HP CF403A toner magenta (201)</t>
  </si>
  <si>
    <t>USB external modem wireless</t>
  </si>
  <si>
    <t>Intel Processor core i7</t>
  </si>
  <si>
    <t>Technical Equipment Maintenance</t>
  </si>
  <si>
    <t>TECHNICAL EQUIPMENT MAINTENANCE</t>
  </si>
  <si>
    <t>IT Dir  Server Fire Alarm System</t>
  </si>
  <si>
    <t>MAINTENANCE OF TECHNICAL AND OFFICE EQUIPMENT</t>
  </si>
  <si>
    <t>Maintenance of Technical and Office Equipment</t>
  </si>
  <si>
    <t>Fibre optic test kit</t>
  </si>
  <si>
    <t>Splicing machine</t>
  </si>
  <si>
    <t>Laptop processor cooling fans</t>
  </si>
  <si>
    <t>Fisher plugs</t>
  </si>
  <si>
    <t>HP  2055 Maintanance kit</t>
  </si>
  <si>
    <t xml:space="preserve">HP Desktop Computers Core i5 </t>
  </si>
  <si>
    <t>All in One Computer touch screen i5</t>
  </si>
  <si>
    <t xml:space="preserve">HP/Dell Laptops Core i7 </t>
  </si>
  <si>
    <t>IPad/Tablet PC</t>
  </si>
  <si>
    <t xml:space="preserve">Standalone UPS  </t>
  </si>
  <si>
    <t>Rack Mountable UPS</t>
  </si>
  <si>
    <t>Heavy duty printers</t>
  </si>
  <si>
    <t>Medium printers</t>
  </si>
  <si>
    <t>Cisco 16 Ports POE Switch</t>
  </si>
  <si>
    <t>Cisco 8 Ports POE Switch</t>
  </si>
  <si>
    <t>Photocopier (Heavy Duty)</t>
  </si>
  <si>
    <t>Media Convetor</t>
  </si>
  <si>
    <t>Router</t>
  </si>
  <si>
    <t>Crone Modules</t>
  </si>
  <si>
    <t>5/6 Way Surge Protectors</t>
  </si>
  <si>
    <t xml:space="preserve">Xerox 4100 Colour Printing Press </t>
  </si>
  <si>
    <t>CTP Printer Copy to Plate</t>
  </si>
  <si>
    <t>HP Designjet Plotter Printer</t>
  </si>
  <si>
    <t>Laser Engraver and Cutter Machine</t>
  </si>
  <si>
    <t>Toshiba Hy Duty Duplicator</t>
  </si>
  <si>
    <t>Combined Electric Binding Machine</t>
  </si>
  <si>
    <t>Electric Guillotine</t>
  </si>
  <si>
    <t>9U/6U Cabinets</t>
  </si>
  <si>
    <t>Concrete Drill Bits 5mm to 12mm</t>
  </si>
  <si>
    <t>Steel Drill Bits 5mm to 12mm</t>
  </si>
  <si>
    <t>Wood Drill Bits 5mm to 12mm</t>
  </si>
  <si>
    <t>Bosch Drilling Machine</t>
  </si>
  <si>
    <t>Cable Tiers</t>
  </si>
  <si>
    <t>Wire Strippers</t>
  </si>
  <si>
    <t>Cable Cutters</t>
  </si>
  <si>
    <t>Pump Pliers</t>
  </si>
  <si>
    <t>Side Cutting Pliers</t>
  </si>
  <si>
    <t>Long Nose Pliers</t>
  </si>
  <si>
    <t>Skinning Knife</t>
  </si>
  <si>
    <t>Crimping Tool</t>
  </si>
  <si>
    <t>Punch Down Tools</t>
  </si>
  <si>
    <t>Network Cable Testers</t>
  </si>
  <si>
    <t>Cable Labling Machine</t>
  </si>
  <si>
    <t>Fibre Optic Splicing set</t>
  </si>
  <si>
    <t>Insertion/Extraction Tools</t>
  </si>
  <si>
    <t>Cable Certifier</t>
  </si>
  <si>
    <t>Fibre Optic Cable</t>
  </si>
  <si>
    <t>Fibre Optic Connectors</t>
  </si>
  <si>
    <t>Network Cable Sheers</t>
  </si>
  <si>
    <t>Riverting Gun</t>
  </si>
  <si>
    <t>Riverts</t>
  </si>
  <si>
    <t>Binding Machine</t>
  </si>
  <si>
    <t>Laminating Machine</t>
  </si>
  <si>
    <t xml:space="preserve">PVC Trunking large  </t>
  </si>
  <si>
    <t xml:space="preserve">PVC Trunking medium </t>
  </si>
  <si>
    <t xml:space="preserve">Metal Trunking </t>
  </si>
  <si>
    <t>Metal Trunking  Flout</t>
  </si>
  <si>
    <t>Windows 10 64Bit Perpertual licence</t>
  </si>
  <si>
    <t>Windows 11 64Bit Perpertual licence</t>
  </si>
  <si>
    <t>Forensics software</t>
  </si>
  <si>
    <t>ID software</t>
  </si>
  <si>
    <t>Network Monitoring software</t>
  </si>
  <si>
    <t xml:space="preserve">Visual Studio Teams </t>
  </si>
  <si>
    <t>ICDL software Ver 13</t>
  </si>
  <si>
    <t>Adobe Suite Complete (PRD)</t>
  </si>
  <si>
    <t>Video Compressing Software (PRD)</t>
  </si>
  <si>
    <t>AMES System Development</t>
  </si>
  <si>
    <t>HRMIS System Development</t>
  </si>
  <si>
    <t>Microsoft Office 2016, 2019</t>
  </si>
  <si>
    <t xml:space="preserve">Logistics System Development </t>
  </si>
  <si>
    <t>Corel Draw for Windows (Printing Press)</t>
  </si>
  <si>
    <t>Adobe Photoshop &amp; Illustrator (Printing Press)</t>
  </si>
  <si>
    <t>InDesign (Printing Press)</t>
  </si>
  <si>
    <t>VMWare, VXSi and Fusion</t>
  </si>
  <si>
    <t>Miscosoft Server 2012, 2016, 2019</t>
  </si>
  <si>
    <t>Reballing Machine</t>
  </si>
  <si>
    <t>Ipads</t>
  </si>
  <si>
    <t xml:space="preserve">Hot Air station  </t>
  </si>
  <si>
    <t>Intel Processor core i5</t>
  </si>
  <si>
    <t>DDR3 4, 8, 16GB RAM for laptop &amp; desktops</t>
  </si>
  <si>
    <t>DDR4 4, 8, 16GB RAM for laptop &amp; desktops</t>
  </si>
  <si>
    <t>Labling Machine</t>
  </si>
  <si>
    <t>Labling cartridges</t>
  </si>
  <si>
    <t>Trestle Ladder</t>
  </si>
  <si>
    <t>Telescoping Ladder</t>
  </si>
  <si>
    <t>Foldable Step Ladder Indoor</t>
  </si>
  <si>
    <t>Straight/Extending Ladder Outdoor</t>
  </si>
  <si>
    <t>Biometric Access Equipment</t>
  </si>
  <si>
    <t>RICOH MC2000L black toner</t>
  </si>
  <si>
    <t>HP CF2122A toner yellow (212A)</t>
  </si>
  <si>
    <t>HP CF2120A toner black (212A)</t>
  </si>
  <si>
    <t>HP CF2121A toner cyan (212A)</t>
  </si>
  <si>
    <t>HP CF2123A toner magenta (212A)</t>
  </si>
  <si>
    <t>RICOH MC2000L cyan toner</t>
  </si>
  <si>
    <t>RICOH MC2000L yellow toner</t>
  </si>
  <si>
    <t>RICOH MC2000L magenta toner</t>
  </si>
  <si>
    <t>RICOH MPC 2503 black toner</t>
  </si>
  <si>
    <t>RICOH MPC 2503 cyan black toner</t>
  </si>
  <si>
    <t>RICOH MPC 2503 yellow toner</t>
  </si>
  <si>
    <t>RICOH MPC magenta toner</t>
  </si>
  <si>
    <t>HP W2070a 117A Black toner</t>
  </si>
  <si>
    <t>HP W1104A (104A) toner</t>
  </si>
  <si>
    <t>HP CF289A toner</t>
  </si>
  <si>
    <t>Printronix ribbons P8000/7000 255049-101</t>
  </si>
  <si>
    <t>Printronix ribbons P8000/ P7000 255049-102</t>
  </si>
  <si>
    <t>HP W2070a 117A cyan toner</t>
  </si>
  <si>
    <t>HP W2070a 117A yellow toner</t>
  </si>
  <si>
    <t>HP W2070a 117A magenta toner</t>
  </si>
  <si>
    <t>ID Card Machine</t>
  </si>
  <si>
    <t>Plotter Printer</t>
  </si>
  <si>
    <t>Fmns and Units</t>
  </si>
  <si>
    <t>Renewal of Computer software licences</t>
  </si>
  <si>
    <t>HUMAN RESOURCES MANAGEMENT INFORMATION SYSTEM EQUIPMENT</t>
  </si>
  <si>
    <t xml:space="preserve">PHASE 1-AS BR </t>
  </si>
  <si>
    <t>EQUIPMENT</t>
  </si>
  <si>
    <t>TOTAL AMNT (US)</t>
  </si>
  <si>
    <t>SURGE PROTECTORS</t>
  </si>
  <si>
    <t>ALL IN ONE DESKTOP COMPUTER</t>
  </si>
  <si>
    <t>ACCESSORIES</t>
  </si>
  <si>
    <t xml:space="preserve">SUB TOTAL </t>
  </si>
  <si>
    <t>PHASE 1-COMD ELEMENT</t>
  </si>
  <si>
    <t xml:space="preserve"> EQPT REQ</t>
  </si>
  <si>
    <t>PHASE 1-ARTY/2BDE/PRES GDS</t>
  </si>
  <si>
    <t>UNITS/ FMN</t>
  </si>
  <si>
    <t>24 PORT SWITCH</t>
  </si>
  <si>
    <t>TRUNKING 10  X 10</t>
  </si>
  <si>
    <t>ETHERNET CABLE DRUM</t>
  </si>
  <si>
    <t>6U CABINETS</t>
  </si>
  <si>
    <t>PATCH PANELS</t>
  </si>
  <si>
    <t xml:space="preserve">SUB TOTAL PHASE 1 </t>
  </si>
  <si>
    <t>PHASE 2-JMT GARRISON DIRs AND BRs</t>
  </si>
  <si>
    <t>DIRs/BRs/</t>
  </si>
  <si>
    <t>SUB TOTAL PHASE 2</t>
  </si>
  <si>
    <t>PHASE 3-ALL UNITS/FMNS/SCHs</t>
  </si>
  <si>
    <t xml:space="preserve">24 PORT SWITCH </t>
  </si>
  <si>
    <t>SUB TOTAL PHASE 3</t>
  </si>
  <si>
    <t>GRAND TOTAL ALL  PHASES</t>
  </si>
  <si>
    <t>NOTES PHASE 1</t>
  </si>
  <si>
    <t>HQ Arty Bde and 3 Fld Regt</t>
  </si>
  <si>
    <t xml:space="preserve">HQ 2 Bde and 2 Fld Regt </t>
  </si>
  <si>
    <t>HQ Pres Gds</t>
  </si>
  <si>
    <t>2 Desktop Computers for Pay Clerk and Chief Clerk per Unit</t>
  </si>
  <si>
    <t>AS Br already networked</t>
  </si>
  <si>
    <t xml:space="preserve"> OFFICES</t>
  </si>
  <si>
    <t>ICT Equipment (HRMS)</t>
  </si>
  <si>
    <t xml:space="preserve"> EQPT </t>
  </si>
  <si>
    <t xml:space="preserve"> PRICE</t>
  </si>
  <si>
    <t>PRICE</t>
  </si>
  <si>
    <t>AMNT</t>
  </si>
  <si>
    <t xml:space="preserve"> AMNT</t>
  </si>
  <si>
    <t xml:space="preserve"> PRICE </t>
  </si>
  <si>
    <t>Tonner HP761</t>
  </si>
  <si>
    <t>Maintenance Cartridge MC 09</t>
  </si>
  <si>
    <t>Maintenance Cartridge HP82</t>
  </si>
  <si>
    <t>HPC 4810A</t>
  </si>
  <si>
    <t>HPT7100 Maintenance Cartridge</t>
  </si>
  <si>
    <t>Memory Sticks</t>
  </si>
  <si>
    <t>Service Station Assembly HP800</t>
  </si>
  <si>
    <t xml:space="preserve">7100 Print Heads </t>
  </si>
  <si>
    <t xml:space="preserve">HP4810A Printhead </t>
  </si>
  <si>
    <t xml:space="preserve">HP4811A Printhead </t>
  </si>
  <si>
    <t xml:space="preserve">HP4812A Printhead </t>
  </si>
  <si>
    <t xml:space="preserve">HP4813A Printhead </t>
  </si>
  <si>
    <t>BOND ROLL 841MM X 150 M, 76MM CORE</t>
  </si>
  <si>
    <t xml:space="preserve">HP DESIGNJET 761 </t>
  </si>
  <si>
    <t xml:space="preserve">HF9J51A-HP  765 </t>
  </si>
  <si>
    <t xml:space="preserve">HF9J50A-HP  765 </t>
  </si>
  <si>
    <t>INK CARTRIDGE GRAY HP 765</t>
  </si>
  <si>
    <t xml:space="preserve">INK CARTRIDGE CYAN HP 765 </t>
  </si>
  <si>
    <t xml:space="preserve">INK CART MATTE BLACK HP 765 </t>
  </si>
  <si>
    <t xml:space="preserve">HP761 DG </t>
  </si>
  <si>
    <t xml:space="preserve">INK CART DARK GREY HP 765 </t>
  </si>
  <si>
    <t xml:space="preserve">HP761 CYAN-MAGENTA </t>
  </si>
  <si>
    <t>HP761 DG MATTE BLACK</t>
  </si>
  <si>
    <t>HP761 YELLOW PRINTHEAD</t>
  </si>
  <si>
    <t xml:space="preserve">HCOF28A-HP 2 PACK </t>
  </si>
  <si>
    <t>LAMINATING GLOSS 1000 MM</t>
  </si>
  <si>
    <t xml:space="preserve">Printers </t>
  </si>
  <si>
    <t>ArcGis Software</t>
  </si>
  <si>
    <t>PIX 4D Mapper</t>
  </si>
  <si>
    <t>Computers</t>
  </si>
  <si>
    <t>Power Point Multimedia</t>
  </si>
  <si>
    <t>Rugged Laptops</t>
  </si>
  <si>
    <t>Macbook Pro (core17)laptops</t>
  </si>
  <si>
    <t>Smart Phone tablets</t>
  </si>
  <si>
    <t>LAMINATING MACHINE</t>
  </si>
  <si>
    <t>DGPS/GNSS Set</t>
  </si>
  <si>
    <t>T7100 print heads</t>
  </si>
  <si>
    <t>GUILLOTINE (HEAVY DUTY)</t>
  </si>
  <si>
    <t>LASERJET MFPM577 PRINTER</t>
  </si>
  <si>
    <t>MID GEO-SAPCIAL</t>
  </si>
  <si>
    <t>MID GEO SAPCIAL</t>
  </si>
  <si>
    <t>HP 104A Toner</t>
  </si>
  <si>
    <t>UNIT COST USD</t>
  </si>
  <si>
    <t>JUSTIFICATION</t>
  </si>
  <si>
    <t>TOTAL COST USD</t>
  </si>
  <si>
    <t>Z04P2SP212</t>
  </si>
  <si>
    <t xml:space="preserve">SUB TOTAL  </t>
  </si>
  <si>
    <t xml:space="preserve">TOTAL COST IN USD </t>
  </si>
  <si>
    <t xml:space="preserve"> SUB TOTAL </t>
  </si>
  <si>
    <t>Cartridges  for ZNA Schools,formation and Units</t>
  </si>
  <si>
    <t>Ribbons for production of payslips</t>
  </si>
  <si>
    <t>USD</t>
  </si>
  <si>
    <t>GRANT TOTAL IN USD</t>
  </si>
  <si>
    <t xml:space="preserve">GRANT TOTAL </t>
  </si>
  <si>
    <t>ACCTS</t>
  </si>
  <si>
    <t>BIDS SUMMARY</t>
  </si>
  <si>
    <t>Dell PowerEdge R750 High-performance Servers</t>
  </si>
  <si>
    <t xml:space="preserve">IMPRIS System handover </t>
  </si>
  <si>
    <t xml:space="preserve">IMPRIS System handover ,Network Switches </t>
  </si>
  <si>
    <t>Cisco Catalyst 3850</t>
  </si>
  <si>
    <t>Network Attached Storage (NAS)IMPRIS equipment</t>
  </si>
  <si>
    <t>Netgear ReadyNAS RN566 Network Attached Storage(NAS)</t>
  </si>
  <si>
    <t>Lenovo Thinkstation P620</t>
  </si>
  <si>
    <t>lenovo ThinkPad P16 Gen 2 intel 16''</t>
  </si>
  <si>
    <t>IMPRIS  Work station mobile</t>
  </si>
  <si>
    <t xml:space="preserve">IMPRIS workstions static  </t>
  </si>
  <si>
    <t>laptops lenovo Legion Pro 7i or 9i 16''/ Alienware x14 R2</t>
  </si>
  <si>
    <t>IMPRIS</t>
  </si>
  <si>
    <t>IMPRIS Softwares, Designing software,Antivirus, Oparating software and Office suite softwares</t>
  </si>
  <si>
    <t>Idea Blade Software Devforce Express Universal 2012 (20 User)</t>
  </si>
  <si>
    <t>DevExpress Version 23.2 Universal</t>
  </si>
  <si>
    <t>IMPRIS Development tools</t>
  </si>
  <si>
    <t>IMPRIS System</t>
  </si>
  <si>
    <t>TeamViewer Corporate 30 Users</t>
  </si>
  <si>
    <t>Advanced Installer (professional)</t>
  </si>
  <si>
    <t>IMPRIS Antivirus Software</t>
  </si>
  <si>
    <t>Kaspersky Internet Security Antivirus  (4 User)</t>
  </si>
  <si>
    <t>MySQL Enterprise Edition</t>
  </si>
  <si>
    <t>IMPRIS  Database Management System (DBMS)</t>
  </si>
  <si>
    <t xml:space="preserve"> Operating System (OS)</t>
  </si>
  <si>
    <t>Kasperky Endpoint Security for Server (Anti-virus)</t>
  </si>
  <si>
    <t>INFORMATION TECHNOLOGY DIRECTORATE BIDS FOR FY 2026</t>
  </si>
  <si>
    <t>IT DIR COMPUTER CONSUMABLES REQUIREMENTS FOR FY 2026</t>
  </si>
  <si>
    <t>PARTS TECHNICAL EQUIPMENT REQUIREMENT FOR FY 2026</t>
  </si>
  <si>
    <t>IT DIR  TECHNICAL EQUIPMENT MAINTENANCE FOR FY 2026</t>
  </si>
  <si>
    <t>IT DIR COMPUTER SOFTWARE REQUIREMENT FOR THE YEAR 2026</t>
  </si>
  <si>
    <t>IT DIR MAINTENANCE OF TECHNICAL AND OFFICE EQUIPMENT FOR FY 2026</t>
  </si>
  <si>
    <t>MID GEO SPACIAL</t>
  </si>
  <si>
    <t>IT DIR COMPUTER EQUIPMENT AND NETWORKING EQUIPMENT REQUIREMENTS FOR FY 2026</t>
  </si>
  <si>
    <t>TONER  CE505A</t>
  </si>
  <si>
    <t>CF226A</t>
  </si>
  <si>
    <t>CE285A</t>
  </si>
  <si>
    <t>ITEM</t>
  </si>
  <si>
    <t>UNIT PRICE</t>
  </si>
  <si>
    <t>TOTAL PRICE</t>
  </si>
  <si>
    <t>CE280A</t>
  </si>
  <si>
    <t>CE151A</t>
  </si>
  <si>
    <t xml:space="preserve">CE 410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</si>
</sst>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US$&quot;#,##0.00"/>
    <numFmt numFmtId="166" formatCode="_-[$$-409]* #,##0.00_ ;_-[$$-409]* \-#,##0.00\ ;_-[$$-409]* &quot;-&quot;??_ ;_-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8"/>
      <color theme="1"/>
      <name val="Tahoma"/>
      <family val="2"/>
    </font>
    <font>
      <b/>
      <sz val="18"/>
      <color theme="1"/>
      <name val="Tahoma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Tahoma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Tahoma"/>
      <family val="2"/>
    </font>
    <font>
      <b/>
      <sz val="11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4"/>
      <color theme="1"/>
      <name val="Tahoma"/>
      <family val="2"/>
    </font>
    <font>
      <sz val="10"/>
      <color theme="1"/>
      <name val="Calibri"/>
      <family val="2"/>
      <scheme val="minor"/>
    </font>
    <font>
      <b/>
      <u/>
      <sz val="10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8"/>
      <color theme="1"/>
      <name val="Tahoma"/>
      <family val="2"/>
    </font>
    <font>
      <b/>
      <u/>
      <sz val="12"/>
      <color theme="1"/>
      <name val="Tahoma"/>
      <family val="2"/>
    </font>
    <font>
      <b/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1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/>
    </xf>
    <xf numFmtId="164" fontId="2" fillId="0" borderId="1" xfId="1" applyFont="1" applyBorder="1"/>
    <xf numFmtId="164" fontId="3" fillId="0" borderId="1" xfId="1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 applyBorder="1"/>
    <xf numFmtId="0" fontId="8" fillId="0" borderId="0" xfId="0" applyFont="1" applyBorder="1"/>
    <xf numFmtId="0" fontId="10" fillId="0" borderId="0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0" xfId="0" applyFont="1"/>
    <xf numFmtId="0" fontId="4" fillId="0" borderId="0" xfId="0" applyFont="1" applyAlignment="1">
      <alignment horizontal="center"/>
    </xf>
    <xf numFmtId="0" fontId="13" fillId="0" borderId="1" xfId="0" applyFont="1" applyBorder="1" applyAlignment="1">
      <alignment horizontal="left"/>
    </xf>
    <xf numFmtId="0" fontId="11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164" fontId="13" fillId="0" borderId="1" xfId="1" applyFont="1" applyBorder="1"/>
    <xf numFmtId="164" fontId="11" fillId="0" borderId="1" xfId="0" applyNumberFormat="1" applyFont="1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164" fontId="13" fillId="0" borderId="1" xfId="1" applyFont="1" applyBorder="1" applyAlignment="1">
      <alignment wrapText="1"/>
    </xf>
    <xf numFmtId="0" fontId="13" fillId="0" borderId="0" xfId="0" applyFont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3" fillId="0" borderId="0" xfId="0" applyFont="1"/>
    <xf numFmtId="0" fontId="3" fillId="0" borderId="1" xfId="0" applyFont="1" applyBorder="1" applyAlignment="1">
      <alignment horizontal="center" vertical="center"/>
    </xf>
    <xf numFmtId="0" fontId="11" fillId="0" borderId="0" xfId="0" applyFont="1"/>
    <xf numFmtId="0" fontId="15" fillId="0" borderId="1" xfId="0" applyFont="1" applyBorder="1"/>
    <xf numFmtId="164" fontId="0" fillId="0" borderId="0" xfId="0" applyNumberFormat="1"/>
    <xf numFmtId="0" fontId="16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4" fontId="17" fillId="0" borderId="1" xfId="1" applyFont="1" applyBorder="1"/>
    <xf numFmtId="0" fontId="16" fillId="0" borderId="1" xfId="0" applyFont="1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Fill="1" applyBorder="1"/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wrapText="1"/>
    </xf>
    <xf numFmtId="164" fontId="17" fillId="0" borderId="1" xfId="1" applyFont="1" applyBorder="1" applyAlignment="1">
      <alignment wrapText="1"/>
    </xf>
    <xf numFmtId="0" fontId="17" fillId="0" borderId="0" xfId="0" applyFont="1"/>
    <xf numFmtId="0" fontId="0" fillId="0" borderId="1" xfId="0" applyBorder="1"/>
    <xf numFmtId="0" fontId="17" fillId="0" borderId="0" xfId="0" applyFont="1" applyBorder="1" applyAlignment="1">
      <alignment horizontal="center"/>
    </xf>
    <xf numFmtId="0" fontId="17" fillId="0" borderId="0" xfId="0" applyFont="1" applyBorder="1"/>
    <xf numFmtId="0" fontId="21" fillId="0" borderId="1" xfId="0" applyFont="1" applyBorder="1"/>
    <xf numFmtId="0" fontId="10" fillId="0" borderId="0" xfId="0" applyFont="1" applyBorder="1" applyAlignment="1">
      <alignment horizontal="center"/>
    </xf>
    <xf numFmtId="0" fontId="12" fillId="0" borderId="1" xfId="0" applyFont="1" applyBorder="1"/>
    <xf numFmtId="0" fontId="21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3" xfId="0" applyFont="1" applyFill="1" applyBorder="1" applyAlignment="1">
      <alignment horizontal="center"/>
    </xf>
    <xf numFmtId="0" fontId="22" fillId="0" borderId="1" xfId="0" applyFont="1" applyBorder="1"/>
    <xf numFmtId="0" fontId="12" fillId="0" borderId="1" xfId="0" applyFont="1" applyFill="1" applyBorder="1"/>
    <xf numFmtId="0" fontId="22" fillId="0" borderId="1" xfId="0" applyFont="1" applyBorder="1" applyAlignment="1">
      <alignment horizontal="center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2" fillId="0" borderId="0" xfId="0" applyFont="1"/>
    <xf numFmtId="0" fontId="17" fillId="0" borderId="2" xfId="0" applyFont="1" applyBorder="1"/>
    <xf numFmtId="0" fontId="17" fillId="0" borderId="3" xfId="0" applyFont="1" applyFill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5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15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6" xfId="0" applyFont="1" applyBorder="1"/>
    <xf numFmtId="0" fontId="14" fillId="0" borderId="6" xfId="0" applyFont="1" applyBorder="1" applyAlignment="1">
      <alignment wrapText="1"/>
    </xf>
    <xf numFmtId="0" fontId="14" fillId="0" borderId="2" xfId="0" applyFont="1" applyBorder="1"/>
    <xf numFmtId="0" fontId="14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17" fillId="0" borderId="5" xfId="0" applyFont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wrapText="1"/>
    </xf>
    <xf numFmtId="0" fontId="17" fillId="0" borderId="1" xfId="0" applyFont="1" applyFill="1" applyBorder="1" applyAlignment="1">
      <alignment wrapText="1"/>
    </xf>
    <xf numFmtId="0" fontId="17" fillId="0" borderId="6" xfId="0" applyFont="1" applyBorder="1"/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3" xfId="0" applyFont="1" applyFill="1" applyBorder="1"/>
    <xf numFmtId="0" fontId="17" fillId="0" borderId="5" xfId="0" applyFont="1" applyBorder="1" applyAlignment="1">
      <alignment horizontal="center"/>
    </xf>
    <xf numFmtId="0" fontId="12" fillId="0" borderId="2" xfId="0" applyFont="1" applyBorder="1"/>
    <xf numFmtId="0" fontId="12" fillId="0" borderId="5" xfId="0" applyFont="1" applyBorder="1"/>
    <xf numFmtId="0" fontId="16" fillId="0" borderId="5" xfId="0" applyFont="1" applyBorder="1"/>
    <xf numFmtId="164" fontId="16" fillId="0" borderId="1" xfId="1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0" xfId="0" applyFont="1" applyBorder="1"/>
    <xf numFmtId="0" fontId="2" fillId="0" borderId="1" xfId="0" applyFont="1" applyFill="1" applyBorder="1"/>
    <xf numFmtId="0" fontId="2" fillId="0" borderId="13" xfId="0" applyFont="1" applyBorder="1"/>
    <xf numFmtId="0" fontId="2" fillId="0" borderId="0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3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9" fillId="0" borderId="0" xfId="0" applyFont="1" applyAlignment="1">
      <alignment wrapText="1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165" fontId="3" fillId="0" borderId="16" xfId="0" applyNumberFormat="1" applyFont="1" applyBorder="1"/>
    <xf numFmtId="0" fontId="3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13" xfId="0" applyNumberFormat="1" applyFont="1" applyBorder="1"/>
    <xf numFmtId="0" fontId="3" fillId="0" borderId="11" xfId="0" applyFont="1" applyBorder="1"/>
    <xf numFmtId="166" fontId="2" fillId="0" borderId="1" xfId="0" applyNumberFormat="1" applyFont="1" applyBorder="1"/>
    <xf numFmtId="0" fontId="2" fillId="0" borderId="1" xfId="0" applyFont="1" applyFill="1" applyBorder="1" applyAlignment="1">
      <alignment horizontal="center"/>
    </xf>
    <xf numFmtId="165" fontId="25" fillId="0" borderId="0" xfId="0" applyNumberFormat="1" applyFont="1"/>
    <xf numFmtId="0" fontId="25" fillId="0" borderId="0" xfId="0" applyFont="1" applyAlignment="1">
      <alignment horizontal="center"/>
    </xf>
    <xf numFmtId="165" fontId="3" fillId="0" borderId="0" xfId="0" applyNumberFormat="1" applyFont="1" applyBorder="1"/>
    <xf numFmtId="165" fontId="25" fillId="0" borderId="0" xfId="0" applyNumberFormat="1" applyFont="1" applyBorder="1"/>
    <xf numFmtId="0" fontId="2" fillId="0" borderId="0" xfId="0" applyFont="1" applyAlignment="1"/>
    <xf numFmtId="0" fontId="9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166" fontId="14" fillId="0" borderId="1" xfId="0" applyNumberFormat="1" applyFont="1" applyBorder="1"/>
    <xf numFmtId="0" fontId="14" fillId="0" borderId="1" xfId="0" applyFont="1" applyFill="1" applyBorder="1" applyAlignment="1">
      <alignment horizontal="center"/>
    </xf>
    <xf numFmtId="0" fontId="12" fillId="0" borderId="4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0" xfId="0" applyBorder="1"/>
    <xf numFmtId="2" fontId="12" fillId="0" borderId="4" xfId="1" applyNumberFormat="1" applyFont="1" applyBorder="1"/>
    <xf numFmtId="2" fontId="22" fillId="0" borderId="1" xfId="0" applyNumberFormat="1" applyFont="1" applyBorder="1"/>
    <xf numFmtId="2" fontId="0" fillId="0" borderId="0" xfId="0" applyNumberFormat="1"/>
    <xf numFmtId="2" fontId="13" fillId="0" borderId="0" xfId="0" applyNumberFormat="1" applyFont="1"/>
    <xf numFmtId="2" fontId="16" fillId="0" borderId="1" xfId="0" applyNumberFormat="1" applyFont="1" applyBorder="1" applyAlignment="1">
      <alignment horizontal="center"/>
    </xf>
    <xf numFmtId="2" fontId="17" fillId="0" borderId="1" xfId="0" applyNumberFormat="1" applyFont="1" applyBorder="1"/>
    <xf numFmtId="2" fontId="13" fillId="0" borderId="1" xfId="0" applyNumberFormat="1" applyFont="1" applyBorder="1"/>
    <xf numFmtId="2" fontId="16" fillId="0" borderId="1" xfId="0" applyNumberFormat="1" applyFont="1" applyBorder="1" applyAlignment="1">
      <alignment horizontal="left"/>
    </xf>
    <xf numFmtId="2" fontId="10" fillId="0" borderId="7" xfId="0" applyNumberFormat="1" applyFont="1" applyBorder="1" applyAlignment="1">
      <alignment horizontal="left"/>
    </xf>
    <xf numFmtId="2" fontId="17" fillId="0" borderId="0" xfId="0" applyNumberFormat="1" applyFont="1"/>
    <xf numFmtId="2" fontId="17" fillId="0" borderId="0" xfId="0" applyNumberFormat="1" applyFont="1" applyBorder="1"/>
    <xf numFmtId="2" fontId="16" fillId="0" borderId="0" xfId="0" applyNumberFormat="1" applyFont="1" applyBorder="1"/>
    <xf numFmtId="0" fontId="16" fillId="0" borderId="0" xfId="0" applyFont="1" applyBorder="1" applyAlignment="1"/>
    <xf numFmtId="2" fontId="15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left" vertical="center"/>
    </xf>
    <xf numFmtId="2" fontId="14" fillId="0" borderId="1" xfId="0" applyNumberFormat="1" applyFont="1" applyBorder="1"/>
    <xf numFmtId="2" fontId="26" fillId="0" borderId="1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/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166" fontId="12" fillId="0" borderId="1" xfId="1" applyNumberFormat="1" applyFont="1" applyBorder="1"/>
    <xf numFmtId="166" fontId="12" fillId="0" borderId="4" xfId="1" applyNumberFormat="1" applyFont="1" applyBorder="1"/>
    <xf numFmtId="166" fontId="12" fillId="0" borderId="1" xfId="1" applyNumberFormat="1" applyFont="1" applyFill="1" applyBorder="1"/>
    <xf numFmtId="166" fontId="12" fillId="0" borderId="1" xfId="0" applyNumberFormat="1" applyFont="1" applyBorder="1"/>
    <xf numFmtId="166" fontId="21" fillId="0" borderId="4" xfId="0" applyNumberFormat="1" applyFont="1" applyBorder="1"/>
    <xf numFmtId="166" fontId="17" fillId="0" borderId="1" xfId="1" applyNumberFormat="1" applyFont="1" applyBorder="1"/>
    <xf numFmtId="166" fontId="16" fillId="0" borderId="1" xfId="0" applyNumberFormat="1" applyFont="1" applyBorder="1"/>
    <xf numFmtId="166" fontId="3" fillId="0" borderId="1" xfId="0" applyNumberFormat="1" applyFont="1" applyBorder="1"/>
    <xf numFmtId="0" fontId="19" fillId="0" borderId="1" xfId="0" applyFont="1" applyBorder="1" applyAlignment="1">
      <alignment wrapText="1"/>
    </xf>
    <xf numFmtId="166" fontId="16" fillId="0" borderId="1" xfId="1" applyNumberFormat="1" applyFont="1" applyBorder="1"/>
    <xf numFmtId="166" fontId="3" fillId="0" borderId="1" xfId="0" applyNumberFormat="1" applyFont="1" applyBorder="1" applyAlignment="1">
      <alignment horizontal="right"/>
    </xf>
    <xf numFmtId="166" fontId="17" fillId="0" borderId="1" xfId="1" applyNumberFormat="1" applyFont="1" applyBorder="1" applyAlignment="1">
      <alignment wrapText="1"/>
    </xf>
    <xf numFmtId="166" fontId="21" fillId="0" borderId="1" xfId="0" applyNumberFormat="1" applyFont="1" applyBorder="1"/>
    <xf numFmtId="166" fontId="14" fillId="0" borderId="1" xfId="1" applyNumberFormat="1" applyFont="1" applyBorder="1"/>
    <xf numFmtId="166" fontId="3" fillId="0" borderId="1" xfId="1" applyNumberFormat="1" applyFont="1" applyBorder="1"/>
    <xf numFmtId="0" fontId="22" fillId="0" borderId="0" xfId="0" applyFont="1" applyBorder="1"/>
    <xf numFmtId="0" fontId="3" fillId="0" borderId="0" xfId="0" applyFont="1" applyBorder="1" applyAlignment="1">
      <alignment horizontal="left"/>
    </xf>
    <xf numFmtId="0" fontId="22" fillId="0" borderId="0" xfId="0" applyFont="1" applyBorder="1" applyAlignment="1">
      <alignment horizontal="center"/>
    </xf>
    <xf numFmtId="2" fontId="22" fillId="0" borderId="0" xfId="0" applyNumberFormat="1" applyFont="1" applyBorder="1"/>
    <xf numFmtId="166" fontId="3" fillId="0" borderId="0" xfId="1" applyNumberFormat="1" applyFont="1" applyBorder="1"/>
    <xf numFmtId="2" fontId="12" fillId="0" borderId="0" xfId="1" applyNumberFormat="1" applyFont="1" applyBorder="1"/>
    <xf numFmtId="43" fontId="0" fillId="0" borderId="0" xfId="0" applyNumberFormat="1" applyBorder="1"/>
    <xf numFmtId="0" fontId="21" fillId="0" borderId="4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13" fillId="0" borderId="0" xfId="0" applyFont="1" applyBorder="1"/>
    <xf numFmtId="0" fontId="11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/>
    <xf numFmtId="166" fontId="3" fillId="0" borderId="0" xfId="0" applyNumberFormat="1" applyFont="1" applyBorder="1"/>
    <xf numFmtId="2" fontId="2" fillId="0" borderId="1" xfId="0" applyNumberFormat="1" applyFont="1" applyBorder="1"/>
    <xf numFmtId="0" fontId="8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4" fillId="0" borderId="0" xfId="0" applyFont="1" applyBorder="1" applyAlignment="1">
      <alignment horizontal="left" vertical="center"/>
    </xf>
    <xf numFmtId="0" fontId="25" fillId="0" borderId="0" xfId="0" applyFont="1" applyAlignment="1">
      <alignment horizontal="left"/>
    </xf>
    <xf numFmtId="0" fontId="26" fillId="0" borderId="2" xfId="0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166" fontId="26" fillId="0" borderId="2" xfId="1" applyNumberFormat="1" applyFont="1" applyBorder="1" applyAlignment="1">
      <alignment horizontal="center"/>
    </xf>
    <xf numFmtId="166" fontId="26" fillId="0" borderId="8" xfId="1" applyNumberFormat="1" applyFont="1" applyBorder="1" applyAlignment="1">
      <alignment horizontal="center"/>
    </xf>
    <xf numFmtId="166" fontId="26" fillId="0" borderId="5" xfId="1" applyNumberFormat="1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166" fontId="17" fillId="0" borderId="2" xfId="1" applyNumberFormat="1" applyFont="1" applyBorder="1" applyAlignment="1">
      <alignment horizontal="center"/>
    </xf>
    <xf numFmtId="166" fontId="17" fillId="0" borderId="8" xfId="1" applyNumberFormat="1" applyFont="1" applyBorder="1" applyAlignment="1">
      <alignment horizontal="center"/>
    </xf>
    <xf numFmtId="166" fontId="17" fillId="0" borderId="5" xfId="1" applyNumberFormat="1" applyFont="1" applyBorder="1" applyAlignment="1">
      <alignment horizontal="center"/>
    </xf>
    <xf numFmtId="166" fontId="3" fillId="0" borderId="2" xfId="1" applyNumberFormat="1" applyFont="1" applyBorder="1" applyAlignment="1">
      <alignment horizontal="center"/>
    </xf>
    <xf numFmtId="166" fontId="3" fillId="0" borderId="8" xfId="1" applyNumberFormat="1" applyFont="1" applyBorder="1" applyAlignment="1">
      <alignment horizontal="center"/>
    </xf>
    <xf numFmtId="166" fontId="3" fillId="0" borderId="5" xfId="1" applyNumberFormat="1" applyFont="1" applyBorder="1" applyAlignment="1">
      <alignment horizontal="center"/>
    </xf>
    <xf numFmtId="166" fontId="16" fillId="0" borderId="2" xfId="1" applyNumberFormat="1" applyFont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0" borderId="5" xfId="1" applyNumberFormat="1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5" fillId="0" borderId="0" xfId="0" applyFont="1"/>
    <xf numFmtId="0" fontId="25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7"/>
  <sheetViews>
    <sheetView workbookViewId="0">
      <selection activeCell="J79" sqref="J79"/>
    </sheetView>
  </sheetViews>
  <sheetFormatPr defaultRowHeight="15" x14ac:dyDescent="0.25"/>
  <cols>
    <col min="1" max="1" width="10" style="6" bestFit="1" customWidth="1"/>
    <col min="2" max="2" width="9.7109375" style="6" bestFit="1" customWidth="1"/>
    <col min="3" max="3" width="16.42578125" style="6" bestFit="1" customWidth="1"/>
    <col min="4" max="4" width="9.85546875" style="6" bestFit="1" customWidth="1"/>
    <col min="5" max="5" width="45.5703125" bestFit="1" customWidth="1"/>
    <col min="6" max="6" width="6.42578125" bestFit="1" customWidth="1"/>
    <col min="7" max="7" width="14.85546875" bestFit="1" customWidth="1"/>
    <col min="8" max="8" width="20" bestFit="1" customWidth="1"/>
    <col min="9" max="9" width="12.85546875" bestFit="1" customWidth="1"/>
    <col min="10" max="10" width="26.28515625" customWidth="1"/>
  </cols>
  <sheetData>
    <row r="1" spans="1:9" ht="15.75" x14ac:dyDescent="0.25">
      <c r="E1" s="1"/>
      <c r="F1" s="1"/>
    </row>
    <row r="2" spans="1:9" ht="15.75" x14ac:dyDescent="0.25">
      <c r="E2" s="1"/>
      <c r="F2" s="1"/>
    </row>
    <row r="3" spans="1:9" ht="22.5" x14ac:dyDescent="0.3">
      <c r="A3" s="216" t="s">
        <v>177</v>
      </c>
      <c r="B3" s="216"/>
      <c r="C3" s="216"/>
      <c r="D3" s="216"/>
      <c r="E3" s="216"/>
      <c r="F3" s="216"/>
      <c r="G3" s="216"/>
      <c r="H3" s="216"/>
      <c r="I3" s="3"/>
    </row>
    <row r="4" spans="1:9" ht="22.5" x14ac:dyDescent="0.3">
      <c r="A4" s="24"/>
      <c r="B4" s="24"/>
      <c r="C4" s="24"/>
      <c r="D4" s="24"/>
      <c r="E4" s="3"/>
      <c r="F4" s="24"/>
      <c r="G4" s="3"/>
      <c r="H4" s="3"/>
      <c r="I4" s="3"/>
    </row>
    <row r="5" spans="1:9" ht="22.5" x14ac:dyDescent="0.3">
      <c r="A5" s="24"/>
      <c r="B5" s="24"/>
      <c r="C5" s="24"/>
      <c r="D5" s="24"/>
      <c r="E5" s="3"/>
      <c r="F5" s="24"/>
      <c r="G5" s="3"/>
      <c r="H5" s="3"/>
      <c r="I5" s="3"/>
    </row>
    <row r="6" spans="1:9" s="23" customFormat="1" x14ac:dyDescent="0.25">
      <c r="A6" s="37" t="s">
        <v>153</v>
      </c>
      <c r="B6" s="37" t="s">
        <v>108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</row>
    <row r="7" spans="1:9" ht="15.75" x14ac:dyDescent="0.25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14</v>
      </c>
      <c r="G7" s="9" t="s">
        <v>15</v>
      </c>
      <c r="H7" s="9" t="s">
        <v>16</v>
      </c>
      <c r="I7" s="9" t="s">
        <v>102</v>
      </c>
    </row>
    <row r="8" spans="1:9" s="23" customFormat="1" x14ac:dyDescent="0.25">
      <c r="A8" s="22">
        <v>1</v>
      </c>
      <c r="B8" s="22" t="s">
        <v>105</v>
      </c>
      <c r="C8" s="22">
        <v>42604</v>
      </c>
      <c r="D8" s="22">
        <v>220602</v>
      </c>
      <c r="E8" s="26" t="s">
        <v>182</v>
      </c>
      <c r="F8" s="27"/>
      <c r="G8" s="28"/>
      <c r="H8" s="28"/>
      <c r="I8" s="28"/>
    </row>
    <row r="9" spans="1:9" s="23" customFormat="1" x14ac:dyDescent="0.25">
      <c r="A9" s="27"/>
      <c r="B9" s="27"/>
      <c r="C9" s="27"/>
      <c r="D9" s="27"/>
      <c r="E9" s="25" t="s">
        <v>17</v>
      </c>
      <c r="F9" s="27">
        <v>400</v>
      </c>
      <c r="G9" s="29">
        <v>120</v>
      </c>
      <c r="H9" s="29">
        <f>G9*F9</f>
        <v>48000</v>
      </c>
      <c r="I9" s="28"/>
    </row>
    <row r="10" spans="1:9" s="23" customFormat="1" x14ac:dyDescent="0.25">
      <c r="A10" s="27"/>
      <c r="B10" s="27"/>
      <c r="C10" s="27"/>
      <c r="D10" s="27"/>
      <c r="E10" s="28" t="s">
        <v>18</v>
      </c>
      <c r="F10" s="27">
        <v>350</v>
      </c>
      <c r="G10" s="29">
        <v>120</v>
      </c>
      <c r="H10" s="29">
        <f>G10*F10</f>
        <v>42000</v>
      </c>
      <c r="I10" s="28"/>
    </row>
    <row r="11" spans="1:9" s="23" customFormat="1" x14ac:dyDescent="0.25">
      <c r="A11" s="27"/>
      <c r="B11" s="27"/>
      <c r="C11" s="27"/>
      <c r="D11" s="27"/>
      <c r="E11" s="28" t="s">
        <v>19</v>
      </c>
      <c r="F11" s="27">
        <v>120</v>
      </c>
      <c r="G11" s="29">
        <v>120</v>
      </c>
      <c r="H11" s="29">
        <f t="shared" ref="H11:H75" si="0">G11*F11</f>
        <v>14400</v>
      </c>
      <c r="I11" s="28"/>
    </row>
    <row r="12" spans="1:9" s="23" customFormat="1" x14ac:dyDescent="0.25">
      <c r="A12" s="27"/>
      <c r="B12" s="27"/>
      <c r="C12" s="27"/>
      <c r="D12" s="27"/>
      <c r="E12" s="28" t="s">
        <v>20</v>
      </c>
      <c r="F12" s="27">
        <v>250</v>
      </c>
      <c r="G12" s="29">
        <v>150</v>
      </c>
      <c r="H12" s="29">
        <f t="shared" si="0"/>
        <v>37500</v>
      </c>
      <c r="I12" s="28"/>
    </row>
    <row r="13" spans="1:9" s="23" customFormat="1" x14ac:dyDescent="0.25">
      <c r="A13" s="27"/>
      <c r="B13" s="27"/>
      <c r="C13" s="27"/>
      <c r="D13" s="27"/>
      <c r="E13" s="28" t="s">
        <v>21</v>
      </c>
      <c r="F13" s="27">
        <v>250</v>
      </c>
      <c r="G13" s="29">
        <v>150</v>
      </c>
      <c r="H13" s="29">
        <f t="shared" si="0"/>
        <v>37500</v>
      </c>
      <c r="I13" s="28"/>
    </row>
    <row r="14" spans="1:9" s="23" customFormat="1" x14ac:dyDescent="0.25">
      <c r="A14" s="27"/>
      <c r="B14" s="27"/>
      <c r="C14" s="27"/>
      <c r="D14" s="27"/>
      <c r="E14" s="28" t="s">
        <v>22</v>
      </c>
      <c r="F14" s="27">
        <v>250</v>
      </c>
      <c r="G14" s="29">
        <v>150</v>
      </c>
      <c r="H14" s="29">
        <f t="shared" si="0"/>
        <v>37500</v>
      </c>
      <c r="I14" s="28"/>
    </row>
    <row r="15" spans="1:9" s="23" customFormat="1" x14ac:dyDescent="0.25">
      <c r="A15" s="27"/>
      <c r="B15" s="27"/>
      <c r="C15" s="27"/>
      <c r="D15" s="27"/>
      <c r="E15" s="28" t="s">
        <v>23</v>
      </c>
      <c r="F15" s="27">
        <v>250</v>
      </c>
      <c r="G15" s="29">
        <v>150</v>
      </c>
      <c r="H15" s="29">
        <f t="shared" si="0"/>
        <v>37500</v>
      </c>
      <c r="I15" s="28"/>
    </row>
    <row r="16" spans="1:9" s="23" customFormat="1" x14ac:dyDescent="0.25">
      <c r="A16" s="27"/>
      <c r="B16" s="27"/>
      <c r="C16" s="27"/>
      <c r="D16" s="27"/>
      <c r="E16" s="28" t="s">
        <v>24</v>
      </c>
      <c r="F16" s="27">
        <v>120</v>
      </c>
      <c r="G16" s="29">
        <v>150</v>
      </c>
      <c r="H16" s="29">
        <f t="shared" si="0"/>
        <v>18000</v>
      </c>
      <c r="I16" s="28"/>
    </row>
    <row r="17" spans="1:9" s="23" customFormat="1" x14ac:dyDescent="0.25">
      <c r="A17" s="27"/>
      <c r="B17" s="27"/>
      <c r="C17" s="27"/>
      <c r="D17" s="27"/>
      <c r="E17" s="28" t="s">
        <v>26</v>
      </c>
      <c r="F17" s="27">
        <v>120</v>
      </c>
      <c r="G17" s="29">
        <v>150</v>
      </c>
      <c r="H17" s="29">
        <f t="shared" si="0"/>
        <v>18000</v>
      </c>
      <c r="I17" s="28"/>
    </row>
    <row r="18" spans="1:9" s="23" customFormat="1" x14ac:dyDescent="0.25">
      <c r="A18" s="27"/>
      <c r="B18" s="27"/>
      <c r="C18" s="27"/>
      <c r="D18" s="27"/>
      <c r="E18" s="28" t="s">
        <v>25</v>
      </c>
      <c r="F18" s="27">
        <v>120</v>
      </c>
      <c r="G18" s="29">
        <v>150</v>
      </c>
      <c r="H18" s="29">
        <f t="shared" si="0"/>
        <v>18000</v>
      </c>
      <c r="I18" s="28"/>
    </row>
    <row r="19" spans="1:9" s="23" customFormat="1" x14ac:dyDescent="0.25">
      <c r="A19" s="27"/>
      <c r="B19" s="27"/>
      <c r="C19" s="27"/>
      <c r="D19" s="27"/>
      <c r="E19" s="28" t="s">
        <v>27</v>
      </c>
      <c r="F19" s="27">
        <v>120</v>
      </c>
      <c r="G19" s="29">
        <v>150</v>
      </c>
      <c r="H19" s="29">
        <f t="shared" si="0"/>
        <v>18000</v>
      </c>
      <c r="I19" s="28"/>
    </row>
    <row r="20" spans="1:9" s="23" customFormat="1" x14ac:dyDescent="0.25">
      <c r="A20" s="27"/>
      <c r="B20" s="27"/>
      <c r="C20" s="27"/>
      <c r="D20" s="27"/>
      <c r="E20" s="28" t="s">
        <v>28</v>
      </c>
      <c r="F20" s="27">
        <v>250</v>
      </c>
      <c r="G20" s="29">
        <v>100</v>
      </c>
      <c r="H20" s="29">
        <f t="shared" si="0"/>
        <v>25000</v>
      </c>
      <c r="I20" s="28"/>
    </row>
    <row r="21" spans="1:9" s="23" customFormat="1" x14ac:dyDescent="0.25">
      <c r="A21" s="27"/>
      <c r="B21" s="27"/>
      <c r="C21" s="27"/>
      <c r="D21" s="27"/>
      <c r="E21" s="28" t="s">
        <v>29</v>
      </c>
      <c r="F21" s="27">
        <v>120</v>
      </c>
      <c r="G21" s="29">
        <v>230</v>
      </c>
      <c r="H21" s="29">
        <f t="shared" si="0"/>
        <v>27600</v>
      </c>
      <c r="I21" s="28"/>
    </row>
    <row r="22" spans="1:9" s="23" customFormat="1" x14ac:dyDescent="0.25">
      <c r="A22" s="27"/>
      <c r="B22" s="27"/>
      <c r="C22" s="27"/>
      <c r="D22" s="27"/>
      <c r="E22" s="28" t="s">
        <v>110</v>
      </c>
      <c r="F22" s="27">
        <v>250</v>
      </c>
      <c r="G22" s="29">
        <v>350</v>
      </c>
      <c r="H22" s="29">
        <f t="shared" si="0"/>
        <v>87500</v>
      </c>
      <c r="I22" s="28"/>
    </row>
    <row r="23" spans="1:9" s="23" customFormat="1" x14ac:dyDescent="0.25">
      <c r="A23" s="27"/>
      <c r="B23" s="27"/>
      <c r="C23" s="27"/>
      <c r="D23" s="27"/>
      <c r="E23" s="28" t="s">
        <v>30</v>
      </c>
      <c r="F23" s="27">
        <v>120</v>
      </c>
      <c r="G23" s="29">
        <v>150</v>
      </c>
      <c r="H23" s="29">
        <f t="shared" si="0"/>
        <v>18000</v>
      </c>
      <c r="I23" s="28"/>
    </row>
    <row r="24" spans="1:9" s="23" customFormat="1" x14ac:dyDescent="0.25">
      <c r="A24" s="27"/>
      <c r="B24" s="27"/>
      <c r="C24" s="27"/>
      <c r="D24" s="27"/>
      <c r="E24" s="28" t="s">
        <v>31</v>
      </c>
      <c r="F24" s="27">
        <v>120</v>
      </c>
      <c r="G24" s="29">
        <v>150</v>
      </c>
      <c r="H24" s="29">
        <f t="shared" si="0"/>
        <v>18000</v>
      </c>
      <c r="I24" s="28"/>
    </row>
    <row r="25" spans="1:9" s="23" customFormat="1" x14ac:dyDescent="0.25">
      <c r="A25" s="27"/>
      <c r="B25" s="27"/>
      <c r="C25" s="27"/>
      <c r="D25" s="27"/>
      <c r="E25" s="28" t="s">
        <v>32</v>
      </c>
      <c r="F25" s="27">
        <v>120</v>
      </c>
      <c r="G25" s="29">
        <v>150</v>
      </c>
      <c r="H25" s="29">
        <f t="shared" si="0"/>
        <v>18000</v>
      </c>
      <c r="I25" s="28"/>
    </row>
    <row r="26" spans="1:9" s="23" customFormat="1" x14ac:dyDescent="0.25">
      <c r="A26" s="27"/>
      <c r="B26" s="27"/>
      <c r="C26" s="27"/>
      <c r="D26" s="27"/>
      <c r="E26" s="28" t="s">
        <v>33</v>
      </c>
      <c r="F26" s="27">
        <v>120</v>
      </c>
      <c r="G26" s="29">
        <v>150</v>
      </c>
      <c r="H26" s="29">
        <f t="shared" si="0"/>
        <v>18000</v>
      </c>
      <c r="I26" s="28"/>
    </row>
    <row r="27" spans="1:9" s="23" customFormat="1" x14ac:dyDescent="0.25">
      <c r="A27" s="27"/>
      <c r="B27" s="27"/>
      <c r="C27" s="27"/>
      <c r="D27" s="27"/>
      <c r="E27" s="28" t="s">
        <v>34</v>
      </c>
      <c r="F27" s="27">
        <v>200</v>
      </c>
      <c r="G27" s="29">
        <v>135</v>
      </c>
      <c r="H27" s="29">
        <f t="shared" si="0"/>
        <v>27000</v>
      </c>
      <c r="I27" s="28"/>
    </row>
    <row r="28" spans="1:9" s="23" customFormat="1" x14ac:dyDescent="0.25">
      <c r="A28" s="27"/>
      <c r="B28" s="27"/>
      <c r="C28" s="27"/>
      <c r="D28" s="27"/>
      <c r="E28" s="28" t="s">
        <v>35</v>
      </c>
      <c r="F28" s="27">
        <v>200</v>
      </c>
      <c r="G28" s="29">
        <v>135</v>
      </c>
      <c r="H28" s="29">
        <f t="shared" si="0"/>
        <v>27000</v>
      </c>
      <c r="I28" s="28"/>
    </row>
    <row r="29" spans="1:9" s="23" customFormat="1" x14ac:dyDescent="0.25">
      <c r="A29" s="27"/>
      <c r="B29" s="27"/>
      <c r="C29" s="27"/>
      <c r="D29" s="27"/>
      <c r="E29" s="28" t="s">
        <v>36</v>
      </c>
      <c r="F29" s="27">
        <v>200</v>
      </c>
      <c r="G29" s="29">
        <v>135</v>
      </c>
      <c r="H29" s="29">
        <f t="shared" si="0"/>
        <v>27000</v>
      </c>
      <c r="I29" s="28"/>
    </row>
    <row r="30" spans="1:9" s="23" customFormat="1" x14ac:dyDescent="0.25">
      <c r="A30" s="27"/>
      <c r="B30" s="27"/>
      <c r="C30" s="27"/>
      <c r="D30" s="27"/>
      <c r="E30" s="28" t="s">
        <v>38</v>
      </c>
      <c r="F30" s="27">
        <v>200</v>
      </c>
      <c r="G30" s="29">
        <v>135</v>
      </c>
      <c r="H30" s="29">
        <f t="shared" si="0"/>
        <v>27000</v>
      </c>
      <c r="I30" s="28"/>
    </row>
    <row r="31" spans="1:9" s="23" customFormat="1" x14ac:dyDescent="0.25">
      <c r="A31" s="27"/>
      <c r="B31" s="27"/>
      <c r="C31" s="27"/>
      <c r="D31" s="27"/>
      <c r="E31" s="28" t="s">
        <v>37</v>
      </c>
      <c r="F31" s="27">
        <v>300</v>
      </c>
      <c r="G31" s="29">
        <v>135</v>
      </c>
      <c r="H31" s="29">
        <f t="shared" si="0"/>
        <v>40500</v>
      </c>
      <c r="I31" s="28"/>
    </row>
    <row r="32" spans="1:9" s="23" customFormat="1" x14ac:dyDescent="0.25">
      <c r="A32" s="27"/>
      <c r="B32" s="27"/>
      <c r="C32" s="27"/>
      <c r="D32" s="27"/>
      <c r="E32" s="28" t="s">
        <v>111</v>
      </c>
      <c r="F32" s="27">
        <v>200</v>
      </c>
      <c r="G32" s="29">
        <v>45</v>
      </c>
      <c r="H32" s="29">
        <f t="shared" si="0"/>
        <v>9000</v>
      </c>
      <c r="I32" s="28"/>
    </row>
    <row r="33" spans="1:9" s="23" customFormat="1" x14ac:dyDescent="0.25">
      <c r="A33" s="27"/>
      <c r="B33" s="27"/>
      <c r="C33" s="27"/>
      <c r="D33" s="27"/>
      <c r="E33" s="28" t="s">
        <v>112</v>
      </c>
      <c r="F33" s="27">
        <v>150</v>
      </c>
      <c r="G33" s="29">
        <v>50</v>
      </c>
      <c r="H33" s="29">
        <f t="shared" si="0"/>
        <v>7500</v>
      </c>
      <c r="I33" s="28"/>
    </row>
    <row r="34" spans="1:9" s="23" customFormat="1" x14ac:dyDescent="0.25">
      <c r="A34" s="27"/>
      <c r="B34" s="27"/>
      <c r="C34" s="27"/>
      <c r="D34" s="27"/>
      <c r="E34" s="28" t="s">
        <v>39</v>
      </c>
      <c r="F34" s="27">
        <v>200</v>
      </c>
      <c r="G34" s="29">
        <v>45</v>
      </c>
      <c r="H34" s="29">
        <f t="shared" si="0"/>
        <v>9000</v>
      </c>
      <c r="I34" s="28"/>
    </row>
    <row r="35" spans="1:9" s="23" customFormat="1" x14ac:dyDescent="0.25">
      <c r="A35" s="27"/>
      <c r="B35" s="27"/>
      <c r="C35" s="27"/>
      <c r="D35" s="27"/>
      <c r="E35" s="28" t="s">
        <v>40</v>
      </c>
      <c r="F35" s="27">
        <v>150</v>
      </c>
      <c r="G35" s="29">
        <v>50</v>
      </c>
      <c r="H35" s="29">
        <f t="shared" si="0"/>
        <v>7500</v>
      </c>
      <c r="I35" s="28"/>
    </row>
    <row r="36" spans="1:9" s="23" customFormat="1" x14ac:dyDescent="0.25">
      <c r="A36" s="27"/>
      <c r="B36" s="27"/>
      <c r="C36" s="27"/>
      <c r="D36" s="27"/>
      <c r="E36" s="28" t="s">
        <v>41</v>
      </c>
      <c r="F36" s="27">
        <v>10</v>
      </c>
      <c r="G36" s="29">
        <v>250</v>
      </c>
      <c r="H36" s="29">
        <f t="shared" si="0"/>
        <v>2500</v>
      </c>
      <c r="I36" s="28"/>
    </row>
    <row r="37" spans="1:9" s="23" customFormat="1" x14ac:dyDescent="0.25">
      <c r="A37" s="27"/>
      <c r="B37" s="27"/>
      <c r="C37" s="27"/>
      <c r="D37" s="27"/>
      <c r="E37" s="28" t="s">
        <v>42</v>
      </c>
      <c r="F37" s="27">
        <v>10</v>
      </c>
      <c r="G37" s="29">
        <v>250</v>
      </c>
      <c r="H37" s="29">
        <f t="shared" si="0"/>
        <v>2500</v>
      </c>
      <c r="I37" s="28"/>
    </row>
    <row r="38" spans="1:9" s="23" customFormat="1" x14ac:dyDescent="0.25">
      <c r="A38" s="27"/>
      <c r="B38" s="27"/>
      <c r="C38" s="27"/>
      <c r="D38" s="27"/>
      <c r="E38" s="28" t="s">
        <v>43</v>
      </c>
      <c r="F38" s="27">
        <v>120</v>
      </c>
      <c r="G38" s="29">
        <v>300</v>
      </c>
      <c r="H38" s="29">
        <f t="shared" si="0"/>
        <v>36000</v>
      </c>
      <c r="I38" s="28"/>
    </row>
    <row r="39" spans="1:9" s="23" customFormat="1" x14ac:dyDescent="0.25">
      <c r="A39" s="27"/>
      <c r="B39" s="27"/>
      <c r="C39" s="27"/>
      <c r="D39" s="27"/>
      <c r="E39" s="28" t="s">
        <v>113</v>
      </c>
      <c r="F39" s="27">
        <v>80</v>
      </c>
      <c r="G39" s="29">
        <v>265</v>
      </c>
      <c r="H39" s="29">
        <f t="shared" si="0"/>
        <v>21200</v>
      </c>
      <c r="I39" s="28"/>
    </row>
    <row r="40" spans="1:9" s="23" customFormat="1" x14ac:dyDescent="0.25">
      <c r="A40" s="27"/>
      <c r="B40" s="27"/>
      <c r="C40" s="27"/>
      <c r="D40" s="27"/>
      <c r="E40" s="28" t="s">
        <v>114</v>
      </c>
      <c r="F40" s="27">
        <v>200</v>
      </c>
      <c r="G40" s="29">
        <v>165</v>
      </c>
      <c r="H40" s="29">
        <f t="shared" si="0"/>
        <v>33000</v>
      </c>
      <c r="I40" s="28"/>
    </row>
    <row r="41" spans="1:9" s="23" customFormat="1" x14ac:dyDescent="0.25">
      <c r="A41" s="27"/>
      <c r="B41" s="27"/>
      <c r="C41" s="27"/>
      <c r="D41" s="27"/>
      <c r="E41" s="28" t="s">
        <v>115</v>
      </c>
      <c r="F41" s="27">
        <v>150</v>
      </c>
      <c r="G41" s="29">
        <v>165</v>
      </c>
      <c r="H41" s="29">
        <f t="shared" si="0"/>
        <v>24750</v>
      </c>
      <c r="I41" s="28"/>
    </row>
    <row r="42" spans="1:9" s="23" customFormat="1" x14ac:dyDescent="0.25">
      <c r="A42" s="27"/>
      <c r="B42" s="27"/>
      <c r="C42" s="27"/>
      <c r="D42" s="27"/>
      <c r="E42" s="28" t="s">
        <v>116</v>
      </c>
      <c r="F42" s="27">
        <v>150</v>
      </c>
      <c r="G42" s="29">
        <v>165</v>
      </c>
      <c r="H42" s="29">
        <f t="shared" si="0"/>
        <v>24750</v>
      </c>
      <c r="I42" s="28"/>
    </row>
    <row r="43" spans="1:9" s="23" customFormat="1" x14ac:dyDescent="0.25">
      <c r="A43" s="27"/>
      <c r="B43" s="27"/>
      <c r="C43" s="27"/>
      <c r="D43" s="27"/>
      <c r="E43" s="28" t="s">
        <v>117</v>
      </c>
      <c r="F43" s="27">
        <v>150</v>
      </c>
      <c r="G43" s="29">
        <v>165</v>
      </c>
      <c r="H43" s="29">
        <f t="shared" si="0"/>
        <v>24750</v>
      </c>
      <c r="I43" s="28"/>
    </row>
    <row r="44" spans="1:9" s="23" customFormat="1" x14ac:dyDescent="0.25">
      <c r="A44" s="27"/>
      <c r="B44" s="27"/>
      <c r="C44" s="27"/>
      <c r="D44" s="27"/>
      <c r="E44" s="28" t="s">
        <v>118</v>
      </c>
      <c r="F44" s="27">
        <v>450</v>
      </c>
      <c r="G44" s="29">
        <v>200</v>
      </c>
      <c r="H44" s="29">
        <f t="shared" si="0"/>
        <v>90000</v>
      </c>
      <c r="I44" s="28"/>
    </row>
    <row r="45" spans="1:9" s="23" customFormat="1" x14ac:dyDescent="0.25">
      <c r="A45" s="27"/>
      <c r="B45" s="27"/>
      <c r="C45" s="27"/>
      <c r="D45" s="27"/>
      <c r="E45" s="28" t="s">
        <v>119</v>
      </c>
      <c r="F45" s="27">
        <v>200</v>
      </c>
      <c r="G45" s="29">
        <v>120</v>
      </c>
      <c r="H45" s="29">
        <f t="shared" si="0"/>
        <v>24000</v>
      </c>
      <c r="I45" s="28"/>
    </row>
    <row r="46" spans="1:9" s="23" customFormat="1" x14ac:dyDescent="0.25">
      <c r="A46" s="27"/>
      <c r="B46" s="27"/>
      <c r="C46" s="27"/>
      <c r="D46" s="27"/>
      <c r="E46" s="28" t="s">
        <v>120</v>
      </c>
      <c r="F46" s="27">
        <v>150</v>
      </c>
      <c r="G46" s="29">
        <v>120</v>
      </c>
      <c r="H46" s="29">
        <f t="shared" si="0"/>
        <v>18000</v>
      </c>
      <c r="I46" s="28"/>
    </row>
    <row r="47" spans="1:9" s="23" customFormat="1" x14ac:dyDescent="0.25">
      <c r="A47" s="27"/>
      <c r="B47" s="27"/>
      <c r="C47" s="27"/>
      <c r="D47" s="27"/>
      <c r="E47" s="28" t="s">
        <v>121</v>
      </c>
      <c r="F47" s="27">
        <v>150</v>
      </c>
      <c r="G47" s="29">
        <v>120</v>
      </c>
      <c r="H47" s="29">
        <f t="shared" si="0"/>
        <v>18000</v>
      </c>
      <c r="I47" s="28"/>
    </row>
    <row r="48" spans="1:9" s="23" customFormat="1" x14ac:dyDescent="0.25">
      <c r="A48" s="27"/>
      <c r="B48" s="27"/>
      <c r="C48" s="27"/>
      <c r="D48" s="27"/>
      <c r="E48" s="28" t="s">
        <v>122</v>
      </c>
      <c r="F48" s="27">
        <v>150</v>
      </c>
      <c r="G48" s="29">
        <v>120</v>
      </c>
      <c r="H48" s="29">
        <f t="shared" si="0"/>
        <v>18000</v>
      </c>
      <c r="I48" s="28"/>
    </row>
    <row r="49" spans="1:9" s="23" customFormat="1" x14ac:dyDescent="0.25">
      <c r="A49" s="27"/>
      <c r="B49" s="27"/>
      <c r="C49" s="27"/>
      <c r="D49" s="27"/>
      <c r="E49" s="28" t="s">
        <v>60</v>
      </c>
      <c r="F49" s="27">
        <v>100</v>
      </c>
      <c r="G49" s="29">
        <v>120</v>
      </c>
      <c r="H49" s="29">
        <f t="shared" si="0"/>
        <v>12000</v>
      </c>
      <c r="I49" s="28"/>
    </row>
    <row r="50" spans="1:9" s="23" customFormat="1" x14ac:dyDescent="0.25">
      <c r="A50" s="27"/>
      <c r="B50" s="27"/>
      <c r="C50" s="27"/>
      <c r="D50" s="27"/>
      <c r="E50" s="28" t="s">
        <v>123</v>
      </c>
      <c r="F50" s="27">
        <v>120</v>
      </c>
      <c r="G50" s="29">
        <v>150</v>
      </c>
      <c r="H50" s="29">
        <f t="shared" si="0"/>
        <v>18000</v>
      </c>
      <c r="I50" s="28"/>
    </row>
    <row r="51" spans="1:9" s="23" customFormat="1" x14ac:dyDescent="0.25">
      <c r="A51" s="27"/>
      <c r="B51" s="27"/>
      <c r="C51" s="27"/>
      <c r="D51" s="27"/>
      <c r="E51" s="28" t="s">
        <v>124</v>
      </c>
      <c r="F51" s="27">
        <v>90</v>
      </c>
      <c r="G51" s="29">
        <v>150</v>
      </c>
      <c r="H51" s="29">
        <f t="shared" si="0"/>
        <v>13500</v>
      </c>
      <c r="I51" s="28"/>
    </row>
    <row r="52" spans="1:9" s="23" customFormat="1" x14ac:dyDescent="0.25">
      <c r="A52" s="27"/>
      <c r="B52" s="27"/>
      <c r="C52" s="27"/>
      <c r="D52" s="27"/>
      <c r="E52" s="28" t="s">
        <v>125</v>
      </c>
      <c r="F52" s="27">
        <v>90</v>
      </c>
      <c r="G52" s="29">
        <v>150</v>
      </c>
      <c r="H52" s="29">
        <f t="shared" si="0"/>
        <v>13500</v>
      </c>
      <c r="I52" s="28"/>
    </row>
    <row r="53" spans="1:9" s="23" customFormat="1" x14ac:dyDescent="0.25">
      <c r="A53" s="27"/>
      <c r="B53" s="27"/>
      <c r="C53" s="27"/>
      <c r="D53" s="27"/>
      <c r="E53" s="28" t="s">
        <v>126</v>
      </c>
      <c r="F53" s="27">
        <v>90</v>
      </c>
      <c r="G53" s="29">
        <v>150</v>
      </c>
      <c r="H53" s="29">
        <f t="shared" si="0"/>
        <v>13500</v>
      </c>
      <c r="I53" s="28"/>
    </row>
    <row r="54" spans="1:9" s="23" customFormat="1" x14ac:dyDescent="0.25">
      <c r="A54" s="27"/>
      <c r="B54" s="27"/>
      <c r="C54" s="27"/>
      <c r="D54" s="27"/>
      <c r="E54" s="28" t="s">
        <v>135</v>
      </c>
      <c r="F54" s="27">
        <v>100</v>
      </c>
      <c r="G54" s="29">
        <v>200</v>
      </c>
      <c r="H54" s="29">
        <f t="shared" si="0"/>
        <v>20000</v>
      </c>
      <c r="I54" s="28"/>
    </row>
    <row r="55" spans="1:9" s="23" customFormat="1" x14ac:dyDescent="0.25">
      <c r="A55" s="27"/>
      <c r="B55" s="27"/>
      <c r="C55" s="27"/>
      <c r="D55" s="27"/>
      <c r="E55" s="28" t="s">
        <v>134</v>
      </c>
      <c r="F55" s="27">
        <v>100</v>
      </c>
      <c r="G55" s="29">
        <v>200</v>
      </c>
      <c r="H55" s="29">
        <f t="shared" si="0"/>
        <v>20000</v>
      </c>
      <c r="I55" s="28"/>
    </row>
    <row r="56" spans="1:9" s="23" customFormat="1" x14ac:dyDescent="0.25">
      <c r="A56" s="27"/>
      <c r="B56" s="27"/>
      <c r="C56" s="27"/>
      <c r="D56" s="27"/>
      <c r="E56" s="28" t="s">
        <v>133</v>
      </c>
      <c r="F56" s="27">
        <v>100</v>
      </c>
      <c r="G56" s="29">
        <v>300</v>
      </c>
      <c r="H56" s="29">
        <f t="shared" si="0"/>
        <v>30000</v>
      </c>
      <c r="I56" s="28"/>
    </row>
    <row r="57" spans="1:9" s="23" customFormat="1" x14ac:dyDescent="0.25">
      <c r="A57" s="27"/>
      <c r="B57" s="27"/>
      <c r="C57" s="27"/>
      <c r="D57" s="27"/>
      <c r="E57" s="28" t="s">
        <v>132</v>
      </c>
      <c r="F57" s="27">
        <v>100</v>
      </c>
      <c r="G57" s="29">
        <v>300</v>
      </c>
      <c r="H57" s="29">
        <f t="shared" si="0"/>
        <v>30000</v>
      </c>
      <c r="I57" s="28"/>
    </row>
    <row r="58" spans="1:9" s="23" customFormat="1" x14ac:dyDescent="0.25">
      <c r="A58" s="27"/>
      <c r="B58" s="27"/>
      <c r="C58" s="27"/>
      <c r="D58" s="27"/>
      <c r="E58" s="28" t="s">
        <v>131</v>
      </c>
      <c r="F58" s="27">
        <v>100</v>
      </c>
      <c r="G58" s="29">
        <v>300</v>
      </c>
      <c r="H58" s="29">
        <f t="shared" si="0"/>
        <v>30000</v>
      </c>
      <c r="I58" s="28"/>
    </row>
    <row r="59" spans="1:9" s="23" customFormat="1" x14ac:dyDescent="0.25">
      <c r="A59" s="27"/>
      <c r="B59" s="27"/>
      <c r="C59" s="27"/>
      <c r="D59" s="27"/>
      <c r="E59" s="28" t="s">
        <v>130</v>
      </c>
      <c r="F59" s="27">
        <v>50</v>
      </c>
      <c r="G59" s="29">
        <v>420</v>
      </c>
      <c r="H59" s="29">
        <f t="shared" si="0"/>
        <v>21000</v>
      </c>
      <c r="I59" s="28"/>
    </row>
    <row r="60" spans="1:9" s="23" customFormat="1" x14ac:dyDescent="0.25">
      <c r="A60" s="27"/>
      <c r="B60" s="27"/>
      <c r="C60" s="27"/>
      <c r="D60" s="27"/>
      <c r="E60" s="28" t="s">
        <v>129</v>
      </c>
      <c r="F60" s="27">
        <v>50</v>
      </c>
      <c r="G60" s="29">
        <v>370</v>
      </c>
      <c r="H60" s="29">
        <f t="shared" si="0"/>
        <v>18500</v>
      </c>
      <c r="I60" s="28"/>
    </row>
    <row r="61" spans="1:9" s="23" customFormat="1" x14ac:dyDescent="0.25">
      <c r="A61" s="27"/>
      <c r="B61" s="27"/>
      <c r="C61" s="27"/>
      <c r="D61" s="27"/>
      <c r="E61" s="28" t="s">
        <v>128</v>
      </c>
      <c r="F61" s="27">
        <v>50</v>
      </c>
      <c r="G61" s="29">
        <v>370</v>
      </c>
      <c r="H61" s="29">
        <f t="shared" si="0"/>
        <v>18500</v>
      </c>
      <c r="I61" s="28"/>
    </row>
    <row r="62" spans="1:9" s="23" customFormat="1" x14ac:dyDescent="0.25">
      <c r="A62" s="27"/>
      <c r="B62" s="27"/>
      <c r="C62" s="27"/>
      <c r="D62" s="27"/>
      <c r="E62" s="28" t="s">
        <v>127</v>
      </c>
      <c r="F62" s="27">
        <v>50</v>
      </c>
      <c r="G62" s="29">
        <v>370</v>
      </c>
      <c r="H62" s="29">
        <f t="shared" si="0"/>
        <v>18500</v>
      </c>
      <c r="I62" s="28"/>
    </row>
    <row r="63" spans="1:9" s="23" customFormat="1" x14ac:dyDescent="0.25">
      <c r="A63" s="27"/>
      <c r="B63" s="27"/>
      <c r="C63" s="27"/>
      <c r="D63" s="27"/>
      <c r="E63" s="28" t="s">
        <v>136</v>
      </c>
      <c r="F63" s="27">
        <v>50</v>
      </c>
      <c r="G63" s="29">
        <v>50</v>
      </c>
      <c r="H63" s="29">
        <f t="shared" si="0"/>
        <v>2500</v>
      </c>
      <c r="I63" s="28"/>
    </row>
    <row r="64" spans="1:9" s="23" customFormat="1" x14ac:dyDescent="0.25">
      <c r="A64" s="27"/>
      <c r="B64" s="27"/>
      <c r="C64" s="27"/>
      <c r="D64" s="27"/>
      <c r="E64" s="28" t="s">
        <v>137</v>
      </c>
      <c r="F64" s="27">
        <v>200</v>
      </c>
      <c r="G64" s="29">
        <v>80</v>
      </c>
      <c r="H64" s="29">
        <f t="shared" si="0"/>
        <v>16000</v>
      </c>
      <c r="I64" s="28"/>
    </row>
    <row r="65" spans="1:9" s="23" customFormat="1" x14ac:dyDescent="0.25">
      <c r="A65" s="27"/>
      <c r="B65" s="27"/>
      <c r="C65" s="27"/>
      <c r="D65" s="27"/>
      <c r="E65" s="28" t="s">
        <v>138</v>
      </c>
      <c r="F65" s="27">
        <v>50</v>
      </c>
      <c r="G65" s="29">
        <v>250</v>
      </c>
      <c r="H65" s="29">
        <f t="shared" si="0"/>
        <v>12500</v>
      </c>
      <c r="I65" s="28"/>
    </row>
    <row r="66" spans="1:9" s="23" customFormat="1" x14ac:dyDescent="0.25">
      <c r="A66" s="27"/>
      <c r="B66" s="27"/>
      <c r="C66" s="27"/>
      <c r="D66" s="27"/>
      <c r="E66" s="28" t="s">
        <v>139</v>
      </c>
      <c r="F66" s="27">
        <v>50</v>
      </c>
      <c r="G66" s="29">
        <v>275</v>
      </c>
      <c r="H66" s="29">
        <f t="shared" si="0"/>
        <v>13750</v>
      </c>
      <c r="I66" s="28"/>
    </row>
    <row r="67" spans="1:9" s="23" customFormat="1" x14ac:dyDescent="0.25">
      <c r="A67" s="27"/>
      <c r="B67" s="27"/>
      <c r="C67" s="27"/>
      <c r="D67" s="27"/>
      <c r="E67" s="28" t="s">
        <v>140</v>
      </c>
      <c r="F67" s="27">
        <v>50</v>
      </c>
      <c r="G67" s="29">
        <v>275</v>
      </c>
      <c r="H67" s="29">
        <f t="shared" si="0"/>
        <v>13750</v>
      </c>
      <c r="I67" s="28"/>
    </row>
    <row r="68" spans="1:9" s="23" customFormat="1" x14ac:dyDescent="0.25">
      <c r="A68" s="27"/>
      <c r="B68" s="27"/>
      <c r="C68" s="27"/>
      <c r="D68" s="27"/>
      <c r="E68" s="28" t="s">
        <v>143</v>
      </c>
      <c r="F68" s="27">
        <v>50</v>
      </c>
      <c r="G68" s="29">
        <v>275</v>
      </c>
      <c r="H68" s="29">
        <f t="shared" si="0"/>
        <v>13750</v>
      </c>
      <c r="I68" s="28"/>
    </row>
    <row r="69" spans="1:9" s="23" customFormat="1" x14ac:dyDescent="0.25">
      <c r="A69" s="27"/>
      <c r="B69" s="27"/>
      <c r="C69" s="27"/>
      <c r="D69" s="27"/>
      <c r="E69" s="28" t="s">
        <v>141</v>
      </c>
      <c r="F69" s="27">
        <v>50</v>
      </c>
      <c r="G69" s="29">
        <v>275</v>
      </c>
      <c r="H69" s="29">
        <f t="shared" si="0"/>
        <v>13750</v>
      </c>
      <c r="I69" s="28"/>
    </row>
    <row r="70" spans="1:9" s="23" customFormat="1" x14ac:dyDescent="0.25">
      <c r="A70" s="27"/>
      <c r="B70" s="27"/>
      <c r="C70" s="27"/>
      <c r="D70" s="27"/>
      <c r="E70" s="28" t="s">
        <v>142</v>
      </c>
      <c r="F70" s="27">
        <v>50</v>
      </c>
      <c r="G70" s="29">
        <v>275</v>
      </c>
      <c r="H70" s="29">
        <f>G70*F70</f>
        <v>13750</v>
      </c>
      <c r="I70" s="28"/>
    </row>
    <row r="71" spans="1:9" s="23" customFormat="1" x14ac:dyDescent="0.25">
      <c r="A71" s="27"/>
      <c r="B71" s="27"/>
      <c r="C71" s="27"/>
      <c r="D71" s="27"/>
      <c r="E71" s="28" t="s">
        <v>44</v>
      </c>
      <c r="F71" s="27">
        <v>500</v>
      </c>
      <c r="G71" s="29">
        <v>30</v>
      </c>
      <c r="H71" s="29">
        <f t="shared" si="0"/>
        <v>15000</v>
      </c>
      <c r="I71" s="28"/>
    </row>
    <row r="72" spans="1:9" s="23" customFormat="1" x14ac:dyDescent="0.25">
      <c r="A72" s="27"/>
      <c r="B72" s="27"/>
      <c r="C72" s="27"/>
      <c r="D72" s="27"/>
      <c r="E72" s="28" t="s">
        <v>45</v>
      </c>
      <c r="F72" s="27">
        <v>30</v>
      </c>
      <c r="G72" s="29">
        <v>20</v>
      </c>
      <c r="H72" s="29">
        <f t="shared" si="0"/>
        <v>600</v>
      </c>
      <c r="I72" s="28"/>
    </row>
    <row r="73" spans="1:9" s="23" customFormat="1" x14ac:dyDescent="0.25">
      <c r="A73" s="27"/>
      <c r="B73" s="27"/>
      <c r="C73" s="27"/>
      <c r="D73" s="27"/>
      <c r="E73" s="28" t="s">
        <v>46</v>
      </c>
      <c r="F73" s="27">
        <v>5</v>
      </c>
      <c r="G73" s="29">
        <v>65</v>
      </c>
      <c r="H73" s="29">
        <f t="shared" si="0"/>
        <v>325</v>
      </c>
      <c r="I73" s="28"/>
    </row>
    <row r="74" spans="1:9" s="23" customFormat="1" x14ac:dyDescent="0.25">
      <c r="A74" s="27"/>
      <c r="B74" s="27"/>
      <c r="C74" s="22"/>
      <c r="D74" s="27"/>
      <c r="E74" s="28" t="s">
        <v>47</v>
      </c>
      <c r="F74" s="27">
        <v>200</v>
      </c>
      <c r="G74" s="29">
        <v>3</v>
      </c>
      <c r="H74" s="29">
        <f t="shared" si="0"/>
        <v>600</v>
      </c>
      <c r="I74" s="28"/>
    </row>
    <row r="75" spans="1:9" s="23" customFormat="1" x14ac:dyDescent="0.25">
      <c r="A75" s="27"/>
      <c r="B75" s="27"/>
      <c r="C75" s="22"/>
      <c r="D75" s="27"/>
      <c r="E75" s="28" t="s">
        <v>179</v>
      </c>
      <c r="F75" s="27">
        <v>20</v>
      </c>
      <c r="G75" s="29">
        <v>150</v>
      </c>
      <c r="H75" s="29">
        <f t="shared" si="0"/>
        <v>3000</v>
      </c>
      <c r="I75" s="28"/>
    </row>
    <row r="76" spans="1:9" s="23" customFormat="1" x14ac:dyDescent="0.25">
      <c r="A76" s="27"/>
      <c r="B76" s="27"/>
      <c r="C76" s="27"/>
      <c r="D76" s="27"/>
      <c r="E76" s="28"/>
      <c r="F76" s="27"/>
      <c r="G76" s="28"/>
      <c r="H76" s="30">
        <f>SUM(H9:H75)</f>
        <v>1453725</v>
      </c>
      <c r="I76" s="28"/>
    </row>
    <row r="79" spans="1:9" ht="15.75" x14ac:dyDescent="0.25">
      <c r="A79" s="4" t="s">
        <v>98</v>
      </c>
      <c r="B79" s="4" t="s">
        <v>108</v>
      </c>
      <c r="C79" s="4" t="s">
        <v>107</v>
      </c>
      <c r="D79" s="9" t="s">
        <v>2</v>
      </c>
      <c r="E79" s="9" t="s">
        <v>100</v>
      </c>
      <c r="F79" s="9" t="s">
        <v>4</v>
      </c>
      <c r="G79" s="9" t="s">
        <v>5</v>
      </c>
      <c r="H79" s="9" t="s">
        <v>6</v>
      </c>
      <c r="I79" s="9" t="s">
        <v>7</v>
      </c>
    </row>
    <row r="80" spans="1:9" ht="15.75" x14ac:dyDescent="0.25">
      <c r="A80" s="4" t="s">
        <v>8</v>
      </c>
      <c r="B80" s="4" t="s">
        <v>9</v>
      </c>
      <c r="C80" s="4" t="s">
        <v>106</v>
      </c>
      <c r="D80" s="9" t="s">
        <v>11</v>
      </c>
      <c r="E80" s="9"/>
      <c r="F80" s="9" t="s">
        <v>13</v>
      </c>
      <c r="G80" s="9" t="s">
        <v>14</v>
      </c>
      <c r="H80" s="9" t="s">
        <v>15</v>
      </c>
      <c r="I80" s="9" t="s">
        <v>16</v>
      </c>
    </row>
    <row r="81" spans="1:9" ht="15.75" x14ac:dyDescent="0.25">
      <c r="A81" s="9">
        <v>2</v>
      </c>
      <c r="B81" s="9" t="s">
        <v>105</v>
      </c>
      <c r="C81" s="9">
        <v>42604</v>
      </c>
      <c r="D81" s="9">
        <v>611221</v>
      </c>
      <c r="E81" s="41" t="s">
        <v>180</v>
      </c>
      <c r="F81" s="9"/>
      <c r="G81" s="16"/>
      <c r="H81" s="16"/>
      <c r="I81" s="16"/>
    </row>
    <row r="82" spans="1:9" ht="22.5" x14ac:dyDescent="0.3">
      <c r="A82" s="17"/>
      <c r="B82" s="17"/>
      <c r="C82" s="9"/>
      <c r="D82" s="9"/>
      <c r="E82" s="2" t="s">
        <v>152</v>
      </c>
      <c r="F82" s="11">
        <v>300</v>
      </c>
      <c r="G82" s="7">
        <v>1200</v>
      </c>
      <c r="H82" s="7">
        <f>G82*F82</f>
        <v>360000</v>
      </c>
      <c r="I82" s="2"/>
    </row>
    <row r="83" spans="1:9" ht="22.5" x14ac:dyDescent="0.3">
      <c r="A83" s="32"/>
      <c r="B83" s="32"/>
      <c r="C83" s="11"/>
      <c r="D83" s="11"/>
      <c r="E83" s="2" t="s">
        <v>48</v>
      </c>
      <c r="F83" s="11">
        <v>1</v>
      </c>
      <c r="G83" s="7">
        <v>20000</v>
      </c>
      <c r="H83" s="7">
        <f t="shared" ref="H83:H98" si="1">G83*F83</f>
        <v>20000</v>
      </c>
      <c r="I83" s="2"/>
    </row>
    <row r="84" spans="1:9" ht="22.5" x14ac:dyDescent="0.3">
      <c r="A84" s="32"/>
      <c r="B84" s="32"/>
      <c r="C84" s="11"/>
      <c r="D84" s="11"/>
      <c r="E84" s="2" t="s">
        <v>49</v>
      </c>
      <c r="F84" s="11">
        <v>100</v>
      </c>
      <c r="G84" s="7">
        <v>600</v>
      </c>
      <c r="H84" s="7">
        <f t="shared" si="1"/>
        <v>60000</v>
      </c>
      <c r="I84" s="2"/>
    </row>
    <row r="85" spans="1:9" ht="22.5" x14ac:dyDescent="0.3">
      <c r="A85" s="32"/>
      <c r="B85" s="32"/>
      <c r="C85" s="11"/>
      <c r="D85" s="11"/>
      <c r="E85" s="2" t="s">
        <v>50</v>
      </c>
      <c r="F85" s="11">
        <v>30</v>
      </c>
      <c r="G85" s="7">
        <v>8000</v>
      </c>
      <c r="H85" s="7">
        <f t="shared" si="1"/>
        <v>240000</v>
      </c>
      <c r="I85" s="2"/>
    </row>
    <row r="86" spans="1:9" ht="22.5" x14ac:dyDescent="0.3">
      <c r="A86" s="32"/>
      <c r="B86" s="32"/>
      <c r="C86" s="11"/>
      <c r="D86" s="11"/>
      <c r="E86" s="2" t="s">
        <v>51</v>
      </c>
      <c r="F86" s="11">
        <v>20</v>
      </c>
      <c r="G86" s="7">
        <v>150</v>
      </c>
      <c r="H86" s="7">
        <f t="shared" si="1"/>
        <v>3000</v>
      </c>
      <c r="I86" s="2"/>
    </row>
    <row r="87" spans="1:9" ht="22.5" x14ac:dyDescent="0.3">
      <c r="A87" s="32"/>
      <c r="B87" s="32"/>
      <c r="C87" s="11"/>
      <c r="D87" s="11"/>
      <c r="E87" s="2" t="s">
        <v>52</v>
      </c>
      <c r="F87" s="11">
        <v>50</v>
      </c>
      <c r="G87" s="7">
        <v>250</v>
      </c>
      <c r="H87" s="7">
        <f t="shared" si="1"/>
        <v>12500</v>
      </c>
      <c r="I87" s="2"/>
    </row>
    <row r="88" spans="1:9" ht="22.5" x14ac:dyDescent="0.3">
      <c r="A88" s="32"/>
      <c r="B88" s="32"/>
      <c r="C88" s="11"/>
      <c r="D88" s="11"/>
      <c r="E88" s="2" t="s">
        <v>53</v>
      </c>
      <c r="F88" s="11">
        <v>30</v>
      </c>
      <c r="G88" s="7">
        <v>200</v>
      </c>
      <c r="H88" s="7">
        <f t="shared" si="1"/>
        <v>6000</v>
      </c>
      <c r="I88" s="2"/>
    </row>
    <row r="89" spans="1:9" ht="22.5" x14ac:dyDescent="0.3">
      <c r="A89" s="32"/>
      <c r="B89" s="32"/>
      <c r="C89" s="11"/>
      <c r="D89" s="11"/>
      <c r="E89" s="2" t="s">
        <v>54</v>
      </c>
      <c r="F89" s="11">
        <v>500</v>
      </c>
      <c r="G89" s="7">
        <v>1500</v>
      </c>
      <c r="H89" s="7">
        <f t="shared" si="1"/>
        <v>750000</v>
      </c>
      <c r="I89" s="2"/>
    </row>
    <row r="90" spans="1:9" ht="22.5" x14ac:dyDescent="0.3">
      <c r="A90" s="32"/>
      <c r="B90" s="32"/>
      <c r="C90" s="11"/>
      <c r="D90" s="11"/>
      <c r="E90" s="2" t="s">
        <v>155</v>
      </c>
      <c r="F90" s="11">
        <v>1</v>
      </c>
      <c r="G90" s="7">
        <v>15000</v>
      </c>
      <c r="H90" s="7">
        <f t="shared" si="1"/>
        <v>15000</v>
      </c>
      <c r="I90" s="2"/>
    </row>
    <row r="91" spans="1:9" ht="22.5" x14ac:dyDescent="0.3">
      <c r="A91" s="32"/>
      <c r="B91" s="32"/>
      <c r="C91" s="11"/>
      <c r="D91" s="11"/>
      <c r="E91" s="2" t="s">
        <v>170</v>
      </c>
      <c r="F91" s="11">
        <v>11</v>
      </c>
      <c r="G91" s="7">
        <v>500</v>
      </c>
      <c r="H91" s="7">
        <f t="shared" si="1"/>
        <v>5500</v>
      </c>
      <c r="I91" s="2"/>
    </row>
    <row r="92" spans="1:9" ht="22.5" x14ac:dyDescent="0.3">
      <c r="A92" s="32"/>
      <c r="B92" s="32"/>
      <c r="C92" s="11"/>
      <c r="D92" s="11"/>
      <c r="E92" s="2" t="s">
        <v>55</v>
      </c>
      <c r="F92" s="11">
        <v>1</v>
      </c>
      <c r="G92" s="7">
        <v>15003</v>
      </c>
      <c r="H92" s="7">
        <f t="shared" si="1"/>
        <v>15003</v>
      </c>
      <c r="I92" s="2"/>
    </row>
    <row r="93" spans="1:9" ht="22.5" x14ac:dyDescent="0.3">
      <c r="A93" s="32"/>
      <c r="B93" s="32"/>
      <c r="C93" s="11"/>
      <c r="D93" s="11"/>
      <c r="E93" s="2" t="s">
        <v>156</v>
      </c>
      <c r="F93" s="11">
        <v>5</v>
      </c>
      <c r="G93" s="7">
        <v>10</v>
      </c>
      <c r="H93" s="7">
        <f t="shared" si="1"/>
        <v>50</v>
      </c>
      <c r="I93" s="2"/>
    </row>
    <row r="94" spans="1:9" ht="22.5" x14ac:dyDescent="0.3">
      <c r="A94" s="32"/>
      <c r="B94" s="32"/>
      <c r="C94" s="11"/>
      <c r="D94" s="11"/>
      <c r="E94" s="2" t="s">
        <v>157</v>
      </c>
      <c r="F94" s="11">
        <v>10</v>
      </c>
      <c r="G94" s="7">
        <v>2000</v>
      </c>
      <c r="H94" s="7">
        <f t="shared" si="1"/>
        <v>20000</v>
      </c>
      <c r="I94" s="2"/>
    </row>
    <row r="95" spans="1:9" ht="22.5" x14ac:dyDescent="0.3">
      <c r="A95" s="32"/>
      <c r="B95" s="32"/>
      <c r="C95" s="11"/>
      <c r="D95" s="11"/>
      <c r="E95" s="2" t="s">
        <v>56</v>
      </c>
      <c r="F95" s="11">
        <v>40</v>
      </c>
      <c r="G95" s="7">
        <v>10</v>
      </c>
      <c r="H95" s="7">
        <f t="shared" si="1"/>
        <v>400</v>
      </c>
      <c r="I95" s="2"/>
    </row>
    <row r="96" spans="1:9" ht="22.5" x14ac:dyDescent="0.3">
      <c r="A96" s="32"/>
      <c r="B96" s="32"/>
      <c r="C96" s="11"/>
      <c r="D96" s="11"/>
      <c r="E96" s="2" t="s">
        <v>57</v>
      </c>
      <c r="F96" s="11">
        <v>50</v>
      </c>
      <c r="G96" s="7">
        <v>10</v>
      </c>
      <c r="H96" s="7">
        <f t="shared" si="1"/>
        <v>500</v>
      </c>
      <c r="I96" s="2"/>
    </row>
    <row r="97" spans="1:9" ht="22.5" x14ac:dyDescent="0.3">
      <c r="A97" s="32"/>
      <c r="B97" s="32"/>
      <c r="C97" s="11"/>
      <c r="D97" s="11"/>
      <c r="E97" s="2" t="s">
        <v>158</v>
      </c>
      <c r="F97" s="11">
        <v>50</v>
      </c>
      <c r="G97" s="7">
        <v>10</v>
      </c>
      <c r="H97" s="7">
        <f t="shared" si="1"/>
        <v>500</v>
      </c>
      <c r="I97" s="2"/>
    </row>
    <row r="98" spans="1:9" ht="22.5" x14ac:dyDescent="0.3">
      <c r="A98" s="32"/>
      <c r="B98" s="32"/>
      <c r="C98" s="11"/>
      <c r="D98" s="11"/>
      <c r="E98" s="2" t="s">
        <v>58</v>
      </c>
      <c r="F98" s="11">
        <v>250</v>
      </c>
      <c r="G98" s="7">
        <v>2000</v>
      </c>
      <c r="H98" s="7">
        <f t="shared" si="1"/>
        <v>500000</v>
      </c>
      <c r="I98" s="2"/>
    </row>
    <row r="99" spans="1:9" ht="22.5" x14ac:dyDescent="0.3">
      <c r="A99" s="32"/>
      <c r="B99" s="32"/>
      <c r="C99" s="9" t="s">
        <v>99</v>
      </c>
      <c r="D99" s="11"/>
      <c r="E99" s="16"/>
      <c r="F99" s="11"/>
      <c r="G99" s="7"/>
      <c r="H99" s="8">
        <f>SUM(H82:H98)</f>
        <v>2008453</v>
      </c>
      <c r="I99" s="2"/>
    </row>
    <row r="100" spans="1:9" x14ac:dyDescent="0.25">
      <c r="F100" s="6"/>
    </row>
    <row r="103" spans="1:9" ht="15.75" x14ac:dyDescent="0.25">
      <c r="A103" s="31" t="s">
        <v>98</v>
      </c>
      <c r="B103" s="4" t="s">
        <v>108</v>
      </c>
      <c r="C103" s="9" t="s">
        <v>107</v>
      </c>
      <c r="D103" s="9" t="s">
        <v>2</v>
      </c>
      <c r="E103" s="20" t="s">
        <v>101</v>
      </c>
      <c r="F103" s="9" t="s">
        <v>4</v>
      </c>
      <c r="G103" s="9" t="s">
        <v>5</v>
      </c>
      <c r="H103" s="9" t="s">
        <v>6</v>
      </c>
      <c r="I103" s="9" t="s">
        <v>7</v>
      </c>
    </row>
    <row r="104" spans="1:9" ht="15.75" x14ac:dyDescent="0.25">
      <c r="A104" s="9">
        <v>3</v>
      </c>
      <c r="B104" s="39" t="s">
        <v>105</v>
      </c>
      <c r="C104" s="9">
        <v>42604</v>
      </c>
      <c r="D104" s="9">
        <v>221802</v>
      </c>
      <c r="E104" s="16" t="s">
        <v>173</v>
      </c>
      <c r="F104" s="11"/>
      <c r="G104" s="2"/>
      <c r="H104" s="2"/>
      <c r="I104" s="2"/>
    </row>
    <row r="105" spans="1:9" ht="15.75" x14ac:dyDescent="0.25">
      <c r="A105" s="11"/>
      <c r="B105" s="11"/>
      <c r="C105" s="11"/>
      <c r="D105" s="11"/>
      <c r="E105" s="2" t="s">
        <v>144</v>
      </c>
      <c r="F105" s="11">
        <v>30</v>
      </c>
      <c r="G105" s="7">
        <v>300</v>
      </c>
      <c r="H105" s="7">
        <f>G105*F105</f>
        <v>9000</v>
      </c>
      <c r="I105" s="2"/>
    </row>
    <row r="106" spans="1:9" ht="15.75" x14ac:dyDescent="0.25">
      <c r="A106" s="11"/>
      <c r="B106" s="11"/>
      <c r="C106" s="11"/>
      <c r="D106" s="11"/>
      <c r="E106" s="2" t="s">
        <v>145</v>
      </c>
      <c r="F106" s="11">
        <v>58</v>
      </c>
      <c r="G106" s="7">
        <v>250</v>
      </c>
      <c r="H106" s="7">
        <f t="shared" ref="H106:H150" si="2">G106*F106</f>
        <v>14500</v>
      </c>
      <c r="I106" s="2"/>
    </row>
    <row r="107" spans="1:9" ht="15.75" x14ac:dyDescent="0.25">
      <c r="A107" s="11"/>
      <c r="B107" s="11"/>
      <c r="C107" s="11"/>
      <c r="D107" s="11"/>
      <c r="E107" s="2" t="s">
        <v>59</v>
      </c>
      <c r="F107" s="11">
        <v>100</v>
      </c>
      <c r="G107" s="7">
        <v>80</v>
      </c>
      <c r="H107" s="7">
        <f t="shared" si="2"/>
        <v>8000</v>
      </c>
      <c r="I107" s="2"/>
    </row>
    <row r="108" spans="1:9" ht="15.75" x14ac:dyDescent="0.25">
      <c r="A108" s="11"/>
      <c r="B108" s="11"/>
      <c r="C108" s="11"/>
      <c r="D108" s="11"/>
      <c r="E108" s="2" t="s">
        <v>60</v>
      </c>
      <c r="F108" s="11">
        <v>30</v>
      </c>
      <c r="G108" s="7">
        <v>200</v>
      </c>
      <c r="H108" s="7">
        <f t="shared" si="2"/>
        <v>6000</v>
      </c>
      <c r="I108" s="2"/>
    </row>
    <row r="109" spans="1:9" ht="15.75" x14ac:dyDescent="0.25">
      <c r="A109" s="11"/>
      <c r="B109" s="11"/>
      <c r="C109" s="11"/>
      <c r="D109" s="11"/>
      <c r="E109" s="2" t="s">
        <v>159</v>
      </c>
      <c r="F109" s="11">
        <v>80</v>
      </c>
      <c r="G109" s="7">
        <v>200</v>
      </c>
      <c r="H109" s="7">
        <f t="shared" si="2"/>
        <v>16000</v>
      </c>
      <c r="I109" s="2"/>
    </row>
    <row r="110" spans="1:9" ht="15.75" x14ac:dyDescent="0.25">
      <c r="A110" s="11"/>
      <c r="B110" s="11"/>
      <c r="C110" s="11"/>
      <c r="D110" s="11"/>
      <c r="E110" s="2" t="s">
        <v>61</v>
      </c>
      <c r="F110" s="11">
        <v>50</v>
      </c>
      <c r="G110" s="7">
        <v>80</v>
      </c>
      <c r="H110" s="7">
        <f t="shared" si="2"/>
        <v>4000</v>
      </c>
      <c r="I110" s="2"/>
    </row>
    <row r="111" spans="1:9" ht="15.75" x14ac:dyDescent="0.25">
      <c r="A111" s="11"/>
      <c r="B111" s="11"/>
      <c r="C111" s="11"/>
      <c r="D111" s="11"/>
      <c r="E111" s="2" t="s">
        <v>62</v>
      </c>
      <c r="F111" s="11">
        <v>20</v>
      </c>
      <c r="G111" s="7">
        <v>50</v>
      </c>
      <c r="H111" s="7">
        <f t="shared" si="2"/>
        <v>1000</v>
      </c>
      <c r="I111" s="2"/>
    </row>
    <row r="112" spans="1:9" ht="15.75" x14ac:dyDescent="0.25">
      <c r="A112" s="11"/>
      <c r="B112" s="11"/>
      <c r="C112" s="11"/>
      <c r="D112" s="11"/>
      <c r="E112" s="2" t="s">
        <v>63</v>
      </c>
      <c r="F112" s="11">
        <v>20</v>
      </c>
      <c r="G112" s="7">
        <v>50</v>
      </c>
      <c r="H112" s="7">
        <f t="shared" si="2"/>
        <v>1000</v>
      </c>
      <c r="I112" s="2"/>
    </row>
    <row r="113" spans="1:9" ht="15.75" x14ac:dyDescent="0.25">
      <c r="A113" s="11"/>
      <c r="B113" s="11"/>
      <c r="C113" s="11"/>
      <c r="D113" s="11"/>
      <c r="E113" s="2" t="s">
        <v>150</v>
      </c>
      <c r="F113" s="11">
        <v>10</v>
      </c>
      <c r="G113" s="7">
        <v>35</v>
      </c>
      <c r="H113" s="7">
        <f t="shared" si="2"/>
        <v>350</v>
      </c>
      <c r="I113" s="2"/>
    </row>
    <row r="114" spans="1:9" ht="15.75" x14ac:dyDescent="0.25">
      <c r="A114" s="11"/>
      <c r="B114" s="11"/>
      <c r="C114" s="11"/>
      <c r="D114" s="11"/>
      <c r="E114" s="2" t="s">
        <v>64</v>
      </c>
      <c r="F114" s="11">
        <v>20</v>
      </c>
      <c r="G114" s="7">
        <v>40</v>
      </c>
      <c r="H114" s="7">
        <f t="shared" si="2"/>
        <v>800</v>
      </c>
      <c r="I114" s="2"/>
    </row>
    <row r="115" spans="1:9" ht="15.75" x14ac:dyDescent="0.25">
      <c r="A115" s="11"/>
      <c r="B115" s="11"/>
      <c r="C115" s="11"/>
      <c r="D115" s="11"/>
      <c r="E115" s="2" t="s">
        <v>65</v>
      </c>
      <c r="F115" s="11">
        <v>10</v>
      </c>
      <c r="G115" s="7">
        <v>200</v>
      </c>
      <c r="H115" s="7">
        <f t="shared" si="2"/>
        <v>2000</v>
      </c>
      <c r="I115" s="2"/>
    </row>
    <row r="116" spans="1:9" ht="15.75" x14ac:dyDescent="0.25">
      <c r="A116" s="11"/>
      <c r="B116" s="11"/>
      <c r="C116" s="11"/>
      <c r="D116" s="11"/>
      <c r="E116" s="2" t="s">
        <v>66</v>
      </c>
      <c r="F116" s="11">
        <v>30</v>
      </c>
      <c r="G116" s="7">
        <v>300</v>
      </c>
      <c r="H116" s="7">
        <f t="shared" si="2"/>
        <v>9000</v>
      </c>
      <c r="I116" s="2"/>
    </row>
    <row r="117" spans="1:9" ht="15.75" x14ac:dyDescent="0.25">
      <c r="A117" s="11"/>
      <c r="B117" s="11"/>
      <c r="C117" s="11"/>
      <c r="D117" s="11"/>
      <c r="E117" s="2" t="s">
        <v>148</v>
      </c>
      <c r="F117" s="11">
        <v>15</v>
      </c>
      <c r="G117" s="7">
        <v>150</v>
      </c>
      <c r="H117" s="7">
        <f t="shared" si="2"/>
        <v>2250</v>
      </c>
      <c r="I117" s="2"/>
    </row>
    <row r="118" spans="1:9" ht="15.75" x14ac:dyDescent="0.25">
      <c r="A118" s="11"/>
      <c r="B118" s="11"/>
      <c r="C118" s="11"/>
      <c r="D118" s="11"/>
      <c r="E118" s="2" t="s">
        <v>67</v>
      </c>
      <c r="F118" s="11">
        <v>20</v>
      </c>
      <c r="G118" s="7">
        <v>15</v>
      </c>
      <c r="H118" s="7">
        <f t="shared" si="2"/>
        <v>300</v>
      </c>
      <c r="I118" s="2"/>
    </row>
    <row r="119" spans="1:9" ht="15.75" x14ac:dyDescent="0.25">
      <c r="A119" s="11"/>
      <c r="B119" s="11"/>
      <c r="C119" s="11"/>
      <c r="D119" s="11"/>
      <c r="E119" s="2" t="s">
        <v>149</v>
      </c>
      <c r="F119" s="11">
        <v>20</v>
      </c>
      <c r="G119" s="7">
        <v>15</v>
      </c>
      <c r="H119" s="7">
        <f t="shared" si="2"/>
        <v>300</v>
      </c>
      <c r="I119" s="2"/>
    </row>
    <row r="120" spans="1:9" ht="15.75" x14ac:dyDescent="0.25">
      <c r="A120" s="11"/>
      <c r="B120" s="11"/>
      <c r="C120" s="11"/>
      <c r="D120" s="11"/>
      <c r="E120" s="2" t="s">
        <v>68</v>
      </c>
      <c r="F120" s="11">
        <v>10</v>
      </c>
      <c r="G120" s="7">
        <v>15</v>
      </c>
      <c r="H120" s="7">
        <f t="shared" si="2"/>
        <v>150</v>
      </c>
      <c r="I120" s="2"/>
    </row>
    <row r="121" spans="1:9" ht="15.75" x14ac:dyDescent="0.25">
      <c r="A121" s="11"/>
      <c r="B121" s="11"/>
      <c r="C121" s="11"/>
      <c r="D121" s="11"/>
      <c r="E121" s="2" t="s">
        <v>147</v>
      </c>
      <c r="F121" s="11">
        <v>20</v>
      </c>
      <c r="G121" s="7">
        <v>20</v>
      </c>
      <c r="H121" s="7">
        <f t="shared" si="2"/>
        <v>400</v>
      </c>
      <c r="I121" s="2"/>
    </row>
    <row r="122" spans="1:9" ht="15.75" x14ac:dyDescent="0.25">
      <c r="A122" s="11"/>
      <c r="B122" s="11"/>
      <c r="C122" s="11"/>
      <c r="D122" s="11"/>
      <c r="E122" s="2" t="s">
        <v>69</v>
      </c>
      <c r="F122" s="11">
        <v>20</v>
      </c>
      <c r="G122" s="7">
        <v>10</v>
      </c>
      <c r="H122" s="7">
        <f t="shared" si="2"/>
        <v>200</v>
      </c>
      <c r="I122" s="2"/>
    </row>
    <row r="123" spans="1:9" ht="15.75" x14ac:dyDescent="0.25">
      <c r="A123" s="11"/>
      <c r="B123" s="11"/>
      <c r="C123" s="11"/>
      <c r="D123" s="11"/>
      <c r="E123" s="2" t="s">
        <v>70</v>
      </c>
      <c r="F123" s="11">
        <v>10</v>
      </c>
      <c r="G123" s="7">
        <v>10</v>
      </c>
      <c r="H123" s="7">
        <f t="shared" si="2"/>
        <v>100</v>
      </c>
      <c r="I123" s="2"/>
    </row>
    <row r="124" spans="1:9" ht="15.75" x14ac:dyDescent="0.25">
      <c r="A124" s="11"/>
      <c r="B124" s="11"/>
      <c r="C124" s="11"/>
      <c r="D124" s="11"/>
      <c r="E124" s="2" t="s">
        <v>146</v>
      </c>
      <c r="F124" s="11">
        <v>10</v>
      </c>
      <c r="G124" s="7">
        <v>100</v>
      </c>
      <c r="H124" s="7">
        <f t="shared" si="2"/>
        <v>1000</v>
      </c>
      <c r="I124" s="2"/>
    </row>
    <row r="125" spans="1:9" ht="15.75" x14ac:dyDescent="0.25">
      <c r="A125" s="11"/>
      <c r="B125" s="11"/>
      <c r="C125" s="11"/>
      <c r="D125" s="11"/>
      <c r="E125" s="2" t="s">
        <v>71</v>
      </c>
      <c r="F125" s="11">
        <v>20</v>
      </c>
      <c r="G125" s="7">
        <v>15</v>
      </c>
      <c r="H125" s="7">
        <f t="shared" si="2"/>
        <v>300</v>
      </c>
      <c r="I125" s="2"/>
    </row>
    <row r="126" spans="1:9" ht="15.75" x14ac:dyDescent="0.25">
      <c r="A126" s="11"/>
      <c r="B126" s="11"/>
      <c r="C126" s="11"/>
      <c r="D126" s="11"/>
      <c r="E126" s="2" t="s">
        <v>72</v>
      </c>
      <c r="F126" s="11">
        <v>10</v>
      </c>
      <c r="G126" s="7">
        <v>120</v>
      </c>
      <c r="H126" s="7">
        <f t="shared" si="2"/>
        <v>1200</v>
      </c>
      <c r="I126" s="2"/>
    </row>
    <row r="127" spans="1:9" ht="15.75" x14ac:dyDescent="0.25">
      <c r="A127" s="11"/>
      <c r="B127" s="11"/>
      <c r="C127" s="11"/>
      <c r="D127" s="11"/>
      <c r="E127" s="2" t="s">
        <v>95</v>
      </c>
      <c r="F127" s="11">
        <v>30</v>
      </c>
      <c r="G127" s="7">
        <v>80</v>
      </c>
      <c r="H127" s="7">
        <f t="shared" si="2"/>
        <v>2400</v>
      </c>
      <c r="I127" s="2"/>
    </row>
    <row r="128" spans="1:9" ht="15.75" x14ac:dyDescent="0.25">
      <c r="A128" s="11"/>
      <c r="B128" s="11"/>
      <c r="C128" s="11"/>
      <c r="D128" s="11"/>
      <c r="E128" s="2" t="s">
        <v>73</v>
      </c>
      <c r="F128" s="11">
        <v>20</v>
      </c>
      <c r="G128" s="7">
        <v>5</v>
      </c>
      <c r="H128" s="7">
        <f t="shared" si="2"/>
        <v>100</v>
      </c>
      <c r="I128" s="2"/>
    </row>
    <row r="129" spans="1:10" ht="15.75" x14ac:dyDescent="0.25">
      <c r="A129" s="11"/>
      <c r="B129" s="11"/>
      <c r="C129" s="11"/>
      <c r="D129" s="11"/>
      <c r="E129" s="2" t="s">
        <v>74</v>
      </c>
      <c r="F129" s="11">
        <v>50</v>
      </c>
      <c r="G129" s="7">
        <v>2</v>
      </c>
      <c r="H129" s="7">
        <f t="shared" si="2"/>
        <v>100</v>
      </c>
      <c r="I129" s="2"/>
    </row>
    <row r="130" spans="1:10" ht="15.75" x14ac:dyDescent="0.25">
      <c r="A130" s="11"/>
      <c r="B130" s="11"/>
      <c r="C130" s="11"/>
      <c r="D130" s="11"/>
      <c r="E130" s="2" t="s">
        <v>75</v>
      </c>
      <c r="F130" s="11">
        <v>30</v>
      </c>
      <c r="G130" s="7">
        <v>3</v>
      </c>
      <c r="H130" s="7">
        <f t="shared" si="2"/>
        <v>90</v>
      </c>
      <c r="I130" s="2"/>
    </row>
    <row r="131" spans="1:10" ht="15.75" x14ac:dyDescent="0.25">
      <c r="A131" s="11"/>
      <c r="B131" s="11"/>
      <c r="C131" s="11"/>
      <c r="D131" s="11"/>
      <c r="E131" s="2" t="s">
        <v>76</v>
      </c>
      <c r="F131" s="11">
        <v>50</v>
      </c>
      <c r="G131" s="7">
        <v>5</v>
      </c>
      <c r="H131" s="7">
        <f t="shared" si="2"/>
        <v>250</v>
      </c>
      <c r="I131" s="2"/>
    </row>
    <row r="132" spans="1:10" ht="15.75" x14ac:dyDescent="0.25">
      <c r="A132" s="11"/>
      <c r="B132" s="11"/>
      <c r="C132" s="11"/>
      <c r="D132" s="11"/>
      <c r="E132" s="2" t="s">
        <v>77</v>
      </c>
      <c r="F132" s="11">
        <v>2</v>
      </c>
      <c r="G132" s="7">
        <v>200</v>
      </c>
      <c r="H132" s="7">
        <f t="shared" si="2"/>
        <v>400</v>
      </c>
      <c r="I132" s="2"/>
    </row>
    <row r="133" spans="1:10" ht="15.75" x14ac:dyDescent="0.25">
      <c r="A133" s="11"/>
      <c r="B133" s="11"/>
      <c r="C133" s="11"/>
      <c r="D133" s="11"/>
      <c r="E133" s="2" t="s">
        <v>78</v>
      </c>
      <c r="F133" s="11">
        <v>5</v>
      </c>
      <c r="G133" s="7">
        <v>20</v>
      </c>
      <c r="H133" s="7">
        <f t="shared" si="2"/>
        <v>100</v>
      </c>
      <c r="I133" s="2"/>
    </row>
    <row r="134" spans="1:10" ht="15.75" x14ac:dyDescent="0.25">
      <c r="A134" s="11"/>
      <c r="B134" s="11"/>
      <c r="C134" s="11"/>
      <c r="D134" s="11"/>
      <c r="E134" s="2" t="s">
        <v>79</v>
      </c>
      <c r="F134" s="11">
        <v>10</v>
      </c>
      <c r="G134" s="7">
        <v>90</v>
      </c>
      <c r="H134" s="7">
        <f t="shared" si="2"/>
        <v>900</v>
      </c>
      <c r="I134" s="2"/>
    </row>
    <row r="135" spans="1:10" ht="15.75" x14ac:dyDescent="0.25">
      <c r="A135" s="11"/>
      <c r="B135" s="11"/>
      <c r="C135" s="11"/>
      <c r="D135" s="11"/>
      <c r="E135" s="2" t="s">
        <v>80</v>
      </c>
      <c r="F135" s="11">
        <v>10</v>
      </c>
      <c r="G135" s="7">
        <v>10</v>
      </c>
      <c r="H135" s="7">
        <f t="shared" si="2"/>
        <v>100</v>
      </c>
      <c r="I135" s="2"/>
    </row>
    <row r="136" spans="1:10" ht="15.75" x14ac:dyDescent="0.25">
      <c r="A136" s="11"/>
      <c r="B136" s="11"/>
      <c r="C136" s="11"/>
      <c r="D136" s="11"/>
      <c r="E136" s="2" t="s">
        <v>161</v>
      </c>
      <c r="F136" s="11">
        <v>5</v>
      </c>
      <c r="G136" s="7">
        <v>15</v>
      </c>
      <c r="H136" s="7">
        <f t="shared" si="2"/>
        <v>75</v>
      </c>
      <c r="I136" s="2"/>
    </row>
    <row r="137" spans="1:10" ht="15.75" x14ac:dyDescent="0.25">
      <c r="A137" s="11"/>
      <c r="B137" s="11"/>
      <c r="C137" s="11"/>
      <c r="D137" s="11"/>
      <c r="E137" s="2" t="s">
        <v>162</v>
      </c>
      <c r="F137" s="11">
        <v>4</v>
      </c>
      <c r="G137" s="7">
        <v>85</v>
      </c>
      <c r="H137" s="7">
        <f t="shared" si="2"/>
        <v>340</v>
      </c>
      <c r="I137" s="2"/>
    </row>
    <row r="138" spans="1:10" ht="15.75" x14ac:dyDescent="0.25">
      <c r="A138" s="11"/>
      <c r="B138" s="11"/>
      <c r="C138" s="11"/>
      <c r="D138" s="11"/>
      <c r="E138" s="2" t="s">
        <v>81</v>
      </c>
      <c r="F138" s="11">
        <v>5</v>
      </c>
      <c r="G138" s="7">
        <v>80</v>
      </c>
      <c r="H138" s="7">
        <f t="shared" si="2"/>
        <v>400</v>
      </c>
      <c r="I138" s="2"/>
    </row>
    <row r="139" spans="1:10" ht="15.75" x14ac:dyDescent="0.25">
      <c r="A139" s="11"/>
      <c r="B139" s="11"/>
      <c r="C139" s="11"/>
      <c r="D139" s="11"/>
      <c r="E139" s="2" t="s">
        <v>89</v>
      </c>
      <c r="F139" s="11">
        <v>10</v>
      </c>
      <c r="G139" s="7">
        <v>10</v>
      </c>
      <c r="H139" s="7">
        <f t="shared" si="2"/>
        <v>100</v>
      </c>
      <c r="I139" s="2"/>
    </row>
    <row r="140" spans="1:10" ht="15.75" x14ac:dyDescent="0.25">
      <c r="A140" s="11"/>
      <c r="B140" s="11"/>
      <c r="C140" s="11"/>
      <c r="D140" s="11"/>
      <c r="E140" s="2" t="s">
        <v>96</v>
      </c>
      <c r="F140" s="11">
        <v>5</v>
      </c>
      <c r="G140" s="7">
        <v>25</v>
      </c>
      <c r="H140" s="7">
        <f t="shared" si="2"/>
        <v>125</v>
      </c>
      <c r="I140" s="2"/>
    </row>
    <row r="141" spans="1:10" ht="15.75" x14ac:dyDescent="0.25">
      <c r="A141" s="11"/>
      <c r="B141" s="11"/>
      <c r="C141" s="11"/>
      <c r="D141" s="11"/>
      <c r="E141" s="2" t="s">
        <v>82</v>
      </c>
      <c r="F141" s="11">
        <v>10</v>
      </c>
      <c r="G141" s="7">
        <v>10</v>
      </c>
      <c r="H141" s="7">
        <f t="shared" si="2"/>
        <v>100</v>
      </c>
      <c r="I141" s="2"/>
    </row>
    <row r="142" spans="1:10" ht="15.75" x14ac:dyDescent="0.25">
      <c r="A142" s="11"/>
      <c r="B142" s="11"/>
      <c r="C142" s="11"/>
      <c r="D142" s="11"/>
      <c r="E142" s="2" t="s">
        <v>83</v>
      </c>
      <c r="F142" s="11">
        <v>10</v>
      </c>
      <c r="G142" s="7">
        <v>15</v>
      </c>
      <c r="H142" s="7">
        <f t="shared" si="2"/>
        <v>150</v>
      </c>
      <c r="I142" s="2"/>
      <c r="J142" t="s">
        <v>176</v>
      </c>
    </row>
    <row r="143" spans="1:10" ht="15.75" x14ac:dyDescent="0.25">
      <c r="A143" s="11"/>
      <c r="B143" s="11"/>
      <c r="C143" s="11"/>
      <c r="D143" s="11"/>
      <c r="E143" s="2" t="s">
        <v>84</v>
      </c>
      <c r="F143" s="11">
        <v>4</v>
      </c>
      <c r="G143" s="7">
        <v>20</v>
      </c>
      <c r="H143" s="7">
        <f t="shared" si="2"/>
        <v>80</v>
      </c>
      <c r="I143" s="2"/>
    </row>
    <row r="144" spans="1:10" ht="15.75" x14ac:dyDescent="0.25">
      <c r="A144" s="11"/>
      <c r="B144" s="11"/>
      <c r="C144" s="11"/>
      <c r="D144" s="11"/>
      <c r="E144" s="2" t="s">
        <v>85</v>
      </c>
      <c r="F144" s="11">
        <v>15</v>
      </c>
      <c r="G144" s="7">
        <v>120</v>
      </c>
      <c r="H144" s="7">
        <f t="shared" si="2"/>
        <v>1800</v>
      </c>
      <c r="I144" s="2"/>
    </row>
    <row r="145" spans="1:10" ht="15.75" x14ac:dyDescent="0.25">
      <c r="A145" s="11"/>
      <c r="B145" s="11"/>
      <c r="C145" s="11"/>
      <c r="D145" s="11"/>
      <c r="E145" s="2" t="s">
        <v>86</v>
      </c>
      <c r="F145" s="11">
        <v>20</v>
      </c>
      <c r="G145" s="7">
        <v>80</v>
      </c>
      <c r="H145" s="7">
        <f t="shared" si="2"/>
        <v>1600</v>
      </c>
      <c r="I145" s="2"/>
    </row>
    <row r="146" spans="1:10" ht="15.75" x14ac:dyDescent="0.25">
      <c r="A146" s="11"/>
      <c r="B146" s="11"/>
      <c r="C146" s="11"/>
      <c r="D146" s="11"/>
      <c r="E146" s="2" t="s">
        <v>163</v>
      </c>
      <c r="F146" s="11">
        <v>10</v>
      </c>
      <c r="G146" s="7">
        <v>100</v>
      </c>
      <c r="H146" s="7">
        <f t="shared" si="2"/>
        <v>1000</v>
      </c>
      <c r="I146" s="2"/>
    </row>
    <row r="147" spans="1:10" ht="15.75" x14ac:dyDescent="0.25">
      <c r="A147" s="11"/>
      <c r="B147" s="11"/>
      <c r="C147" s="11"/>
      <c r="D147" s="11"/>
      <c r="E147" s="2" t="s">
        <v>87</v>
      </c>
      <c r="F147" s="11">
        <v>19</v>
      </c>
      <c r="G147" s="7">
        <v>65</v>
      </c>
      <c r="H147" s="7">
        <f t="shared" si="2"/>
        <v>1235</v>
      </c>
      <c r="I147" s="2"/>
    </row>
    <row r="148" spans="1:10" ht="15.75" x14ac:dyDescent="0.25">
      <c r="A148" s="11"/>
      <c r="B148" s="11"/>
      <c r="C148" s="11"/>
      <c r="D148" s="11"/>
      <c r="E148" s="2" t="s">
        <v>154</v>
      </c>
      <c r="F148" s="11">
        <v>18</v>
      </c>
      <c r="G148" s="7">
        <v>500</v>
      </c>
      <c r="H148" s="7">
        <f t="shared" si="2"/>
        <v>9000</v>
      </c>
      <c r="I148" s="2"/>
    </row>
    <row r="149" spans="1:10" ht="15.75" x14ac:dyDescent="0.25">
      <c r="A149" s="11"/>
      <c r="B149" s="11"/>
      <c r="C149" s="11"/>
      <c r="D149" s="11"/>
      <c r="E149" s="2" t="s">
        <v>160</v>
      </c>
      <c r="F149" s="11">
        <v>20</v>
      </c>
      <c r="G149" s="7">
        <v>10</v>
      </c>
      <c r="H149" s="7">
        <f t="shared" si="2"/>
        <v>200</v>
      </c>
      <c r="I149" s="2"/>
    </row>
    <row r="150" spans="1:10" ht="15.75" x14ac:dyDescent="0.25">
      <c r="A150" s="11"/>
      <c r="B150" s="11"/>
      <c r="C150" s="11"/>
      <c r="D150" s="11"/>
      <c r="E150" s="2" t="s">
        <v>88</v>
      </c>
      <c r="F150" s="11">
        <v>5</v>
      </c>
      <c r="G150" s="7">
        <v>80</v>
      </c>
      <c r="H150" s="7">
        <f t="shared" si="2"/>
        <v>400</v>
      </c>
      <c r="I150" s="2"/>
    </row>
    <row r="151" spans="1:10" ht="15.75" x14ac:dyDescent="0.25">
      <c r="A151" s="11"/>
      <c r="B151" s="11"/>
      <c r="C151" s="9" t="s">
        <v>99</v>
      </c>
      <c r="D151" s="11"/>
      <c r="E151" s="16"/>
      <c r="F151" s="11"/>
      <c r="G151" s="2"/>
      <c r="H151" s="10">
        <f>SUM(H105:H150)</f>
        <v>98895</v>
      </c>
      <c r="I151" s="2"/>
    </row>
    <row r="152" spans="1:10" ht="15.75" x14ac:dyDescent="0.25">
      <c r="A152" s="11"/>
      <c r="B152" s="11"/>
      <c r="C152" s="11"/>
      <c r="D152" s="11"/>
      <c r="E152" s="2"/>
      <c r="F152" s="11"/>
      <c r="G152" s="2"/>
      <c r="H152" s="2"/>
      <c r="I152" s="2"/>
    </row>
    <row r="153" spans="1:10" x14ac:dyDescent="0.25">
      <c r="F153" s="6"/>
    </row>
    <row r="155" spans="1:10" ht="23.25" x14ac:dyDescent="0.35">
      <c r="A155" s="31" t="s">
        <v>97</v>
      </c>
      <c r="B155" s="9" t="s">
        <v>108</v>
      </c>
      <c r="C155" s="4" t="s">
        <v>107</v>
      </c>
      <c r="D155" s="9" t="s">
        <v>2</v>
      </c>
      <c r="E155" s="4" t="s">
        <v>103</v>
      </c>
      <c r="F155" s="9" t="s">
        <v>4</v>
      </c>
      <c r="G155" s="9" t="s">
        <v>5</v>
      </c>
      <c r="H155" s="9" t="s">
        <v>6</v>
      </c>
      <c r="I155" s="9" t="s">
        <v>7</v>
      </c>
      <c r="J155" s="18"/>
    </row>
    <row r="156" spans="1:10" ht="30" x14ac:dyDescent="0.35">
      <c r="A156" s="9">
        <v>4</v>
      </c>
      <c r="B156" s="9" t="s">
        <v>104</v>
      </c>
      <c r="C156" s="9">
        <v>42604</v>
      </c>
      <c r="D156" s="9">
        <v>221804</v>
      </c>
      <c r="E156" s="19" t="s">
        <v>109</v>
      </c>
      <c r="F156" s="11"/>
      <c r="G156" s="2"/>
      <c r="H156" s="2"/>
      <c r="I156" s="2"/>
      <c r="J156" s="5"/>
    </row>
    <row r="157" spans="1:10" ht="23.25" x14ac:dyDescent="0.35">
      <c r="A157" s="11"/>
      <c r="B157" s="11"/>
      <c r="C157" s="11"/>
      <c r="D157" s="11"/>
      <c r="E157" s="2" t="s">
        <v>90</v>
      </c>
      <c r="F157" s="11">
        <v>1</v>
      </c>
      <c r="G157" s="7">
        <v>10000</v>
      </c>
      <c r="H157" s="7">
        <f>G157*F157</f>
        <v>10000</v>
      </c>
      <c r="I157" s="2"/>
      <c r="J157" s="5"/>
    </row>
    <row r="158" spans="1:10" ht="23.25" x14ac:dyDescent="0.35">
      <c r="A158" s="11"/>
      <c r="B158" s="11"/>
      <c r="C158" s="11"/>
      <c r="D158" s="11"/>
      <c r="E158" s="2" t="s">
        <v>181</v>
      </c>
      <c r="F158" s="11">
        <v>2</v>
      </c>
      <c r="G158" s="7">
        <v>5000</v>
      </c>
      <c r="H158" s="7">
        <f>G158*F158</f>
        <v>10000</v>
      </c>
      <c r="I158" s="2"/>
      <c r="J158" s="5"/>
    </row>
    <row r="159" spans="1:10" ht="23.25" x14ac:dyDescent="0.35">
      <c r="A159" s="11"/>
      <c r="B159" s="11"/>
      <c r="C159" s="9" t="s">
        <v>99</v>
      </c>
      <c r="D159" s="11"/>
      <c r="E159" s="16"/>
      <c r="F159" s="11"/>
      <c r="G159" s="2"/>
      <c r="H159" s="8">
        <f>SUM(H157:H158)</f>
        <v>20000</v>
      </c>
      <c r="I159" s="2"/>
      <c r="J159" s="5"/>
    </row>
    <row r="160" spans="1:10" x14ac:dyDescent="0.25">
      <c r="F160" s="6"/>
      <c r="H160" s="42"/>
    </row>
    <row r="161" spans="1:9" x14ac:dyDescent="0.25">
      <c r="F161" s="6"/>
    </row>
    <row r="162" spans="1:9" x14ac:dyDescent="0.25">
      <c r="A162" s="15"/>
      <c r="B162" s="217" t="s">
        <v>178</v>
      </c>
      <c r="C162" s="217"/>
      <c r="D162" s="217"/>
      <c r="E162" s="217"/>
      <c r="F162" s="217"/>
      <c r="G162" s="217"/>
      <c r="H162" s="217"/>
      <c r="I162" s="217"/>
    </row>
    <row r="163" spans="1:9" ht="22.5" x14ac:dyDescent="0.3">
      <c r="A163" s="15"/>
      <c r="B163" s="15"/>
      <c r="C163" s="15"/>
      <c r="D163" s="15"/>
      <c r="E163" s="14"/>
      <c r="F163" s="15"/>
      <c r="G163" s="13"/>
      <c r="H163" s="13"/>
      <c r="I163" s="13"/>
    </row>
    <row r="164" spans="1:9" x14ac:dyDescent="0.25">
      <c r="A164" s="22" t="s">
        <v>0</v>
      </c>
      <c r="B164" s="22" t="s">
        <v>108</v>
      </c>
      <c r="C164" s="22" t="s">
        <v>107</v>
      </c>
      <c r="D164" s="22" t="s">
        <v>2</v>
      </c>
      <c r="E164" s="21" t="s">
        <v>3</v>
      </c>
      <c r="F164" s="22" t="s">
        <v>4</v>
      </c>
      <c r="G164" s="22" t="s">
        <v>5</v>
      </c>
      <c r="H164" s="22" t="s">
        <v>6</v>
      </c>
      <c r="I164" s="22" t="s">
        <v>7</v>
      </c>
    </row>
    <row r="165" spans="1:9" x14ac:dyDescent="0.25">
      <c r="A165" s="22" t="s">
        <v>8</v>
      </c>
      <c r="B165" s="22" t="s">
        <v>9</v>
      </c>
      <c r="C165" s="22" t="s">
        <v>171</v>
      </c>
      <c r="D165" s="22" t="s">
        <v>11</v>
      </c>
      <c r="E165" s="22" t="s">
        <v>172</v>
      </c>
      <c r="F165" s="22" t="s">
        <v>13</v>
      </c>
      <c r="G165" s="22" t="s">
        <v>13</v>
      </c>
      <c r="H165" s="22" t="s">
        <v>13</v>
      </c>
      <c r="I165" s="22" t="s">
        <v>14</v>
      </c>
    </row>
    <row r="166" spans="1:9" x14ac:dyDescent="0.25">
      <c r="A166" s="22">
        <v>5</v>
      </c>
      <c r="B166" s="22" t="s">
        <v>104</v>
      </c>
      <c r="C166" s="22">
        <v>42604</v>
      </c>
      <c r="D166" s="22">
        <v>220603</v>
      </c>
      <c r="E166" s="40" t="s">
        <v>174</v>
      </c>
      <c r="I166" s="28"/>
    </row>
    <row r="167" spans="1:9" x14ac:dyDescent="0.25">
      <c r="A167" s="22"/>
      <c r="B167" s="22"/>
      <c r="C167" s="22"/>
      <c r="D167" s="22"/>
      <c r="E167" s="28" t="s">
        <v>151</v>
      </c>
      <c r="F167" s="27">
        <v>3000</v>
      </c>
      <c r="G167" s="29">
        <v>50</v>
      </c>
      <c r="H167" s="29">
        <f t="shared" ref="H167:H178" si="3">G167*F167</f>
        <v>150000</v>
      </c>
      <c r="I167" s="28"/>
    </row>
    <row r="168" spans="1:9" x14ac:dyDescent="0.25">
      <c r="A168" s="22"/>
      <c r="B168" s="27"/>
      <c r="C168" s="27"/>
      <c r="D168" s="27"/>
      <c r="E168" s="28" t="s">
        <v>164</v>
      </c>
      <c r="F168" s="27">
        <v>2</v>
      </c>
      <c r="G168" s="29">
        <v>15000</v>
      </c>
      <c r="H168" s="29">
        <f t="shared" si="3"/>
        <v>30000</v>
      </c>
      <c r="I168" s="28"/>
    </row>
    <row r="169" spans="1:9" x14ac:dyDescent="0.25">
      <c r="A169" s="22"/>
      <c r="B169" s="27"/>
      <c r="C169" s="27"/>
      <c r="D169" s="27"/>
      <c r="E169" s="28" t="s">
        <v>93</v>
      </c>
      <c r="F169" s="27">
        <v>1</v>
      </c>
      <c r="G169" s="29">
        <v>25000</v>
      </c>
      <c r="H169" s="29">
        <f t="shared" si="3"/>
        <v>25000</v>
      </c>
      <c r="I169" s="28"/>
    </row>
    <row r="170" spans="1:9" x14ac:dyDescent="0.25">
      <c r="A170" s="22"/>
      <c r="B170" s="27"/>
      <c r="C170" s="27"/>
      <c r="D170" s="27"/>
      <c r="E170" s="28" t="s">
        <v>94</v>
      </c>
      <c r="F170" s="27">
        <v>1</v>
      </c>
      <c r="G170" s="29">
        <v>10000</v>
      </c>
      <c r="H170" s="29">
        <f t="shared" si="3"/>
        <v>10000</v>
      </c>
      <c r="I170" s="28"/>
    </row>
    <row r="171" spans="1:9" x14ac:dyDescent="0.25">
      <c r="A171" s="37"/>
      <c r="B171" s="34"/>
      <c r="C171" s="34"/>
      <c r="D171" s="34"/>
      <c r="E171" s="28" t="s">
        <v>175</v>
      </c>
      <c r="F171" s="27">
        <v>1</v>
      </c>
      <c r="G171" s="29">
        <v>5000</v>
      </c>
      <c r="H171" s="29">
        <f t="shared" si="3"/>
        <v>5000</v>
      </c>
      <c r="I171" s="33"/>
    </row>
    <row r="172" spans="1:9" x14ac:dyDescent="0.25">
      <c r="A172" s="22"/>
      <c r="B172" s="27"/>
      <c r="C172" s="27"/>
      <c r="D172" s="27"/>
      <c r="E172" s="33" t="s">
        <v>91</v>
      </c>
      <c r="F172" s="34">
        <v>1</v>
      </c>
      <c r="G172" s="35">
        <v>5000</v>
      </c>
      <c r="H172" s="35">
        <f t="shared" si="3"/>
        <v>5000</v>
      </c>
      <c r="I172" s="28"/>
    </row>
    <row r="173" spans="1:9" x14ac:dyDescent="0.25">
      <c r="A173" s="22"/>
      <c r="B173" s="27"/>
      <c r="C173" s="27"/>
      <c r="D173" s="27"/>
      <c r="E173" s="28" t="s">
        <v>92</v>
      </c>
      <c r="F173" s="27">
        <v>1</v>
      </c>
      <c r="G173" s="29">
        <v>1000</v>
      </c>
      <c r="H173" s="29">
        <f t="shared" si="3"/>
        <v>1000</v>
      </c>
      <c r="I173" s="28"/>
    </row>
    <row r="174" spans="1:9" x14ac:dyDescent="0.25">
      <c r="A174" s="22"/>
      <c r="B174" s="27"/>
      <c r="C174" s="27"/>
      <c r="D174" s="27"/>
      <c r="E174" s="28" t="s">
        <v>165</v>
      </c>
      <c r="F174" s="27">
        <v>1</v>
      </c>
      <c r="G174" s="29">
        <v>1000</v>
      </c>
      <c r="H174" s="29">
        <f t="shared" si="3"/>
        <v>1000</v>
      </c>
      <c r="I174" s="28"/>
    </row>
    <row r="175" spans="1:9" x14ac:dyDescent="0.25">
      <c r="A175" s="22"/>
      <c r="B175" s="27"/>
      <c r="C175" s="27"/>
      <c r="D175" s="27"/>
      <c r="E175" s="28" t="s">
        <v>166</v>
      </c>
      <c r="F175" s="27">
        <v>1</v>
      </c>
      <c r="G175" s="29">
        <v>1000</v>
      </c>
      <c r="H175" s="29">
        <f t="shared" si="3"/>
        <v>1000</v>
      </c>
      <c r="I175" s="28"/>
    </row>
    <row r="176" spans="1:9" x14ac:dyDescent="0.25">
      <c r="A176" s="22"/>
      <c r="B176" s="27"/>
      <c r="C176" s="27"/>
      <c r="D176" s="27"/>
      <c r="E176" s="28" t="s">
        <v>167</v>
      </c>
      <c r="F176" s="27">
        <v>1</v>
      </c>
      <c r="G176" s="29">
        <v>3000</v>
      </c>
      <c r="H176" s="29">
        <f t="shared" si="3"/>
        <v>3000</v>
      </c>
      <c r="I176" s="28"/>
    </row>
    <row r="177" spans="1:9" x14ac:dyDescent="0.25">
      <c r="A177" s="22"/>
      <c r="B177" s="27"/>
      <c r="C177" s="27"/>
      <c r="D177" s="27"/>
      <c r="E177" s="28" t="s">
        <v>168</v>
      </c>
      <c r="F177" s="27">
        <v>1</v>
      </c>
      <c r="G177" s="29">
        <v>3000</v>
      </c>
      <c r="H177" s="29">
        <f t="shared" si="3"/>
        <v>3000</v>
      </c>
      <c r="I177" s="28"/>
    </row>
    <row r="178" spans="1:9" x14ac:dyDescent="0.25">
      <c r="A178" s="22"/>
      <c r="B178" s="27"/>
      <c r="C178" s="27"/>
      <c r="D178" s="27"/>
      <c r="E178" s="28" t="s">
        <v>169</v>
      </c>
      <c r="F178" s="27">
        <v>1</v>
      </c>
      <c r="G178" s="29">
        <v>1000</v>
      </c>
      <c r="H178" s="29">
        <f t="shared" si="3"/>
        <v>1000</v>
      </c>
      <c r="I178" s="28"/>
    </row>
    <row r="179" spans="1:9" x14ac:dyDescent="0.25">
      <c r="A179" s="27"/>
      <c r="B179" s="27"/>
      <c r="C179" s="22" t="s">
        <v>99</v>
      </c>
      <c r="D179" s="27"/>
      <c r="E179" s="28"/>
      <c r="F179" s="27"/>
      <c r="G179" s="28"/>
      <c r="H179" s="30">
        <f>SUM(H167:H178)</f>
        <v>235000</v>
      </c>
      <c r="I179" s="28"/>
    </row>
    <row r="180" spans="1:9" x14ac:dyDescent="0.25">
      <c r="A180" s="36"/>
      <c r="B180" s="36"/>
      <c r="C180" s="36"/>
      <c r="D180" s="36"/>
      <c r="E180" s="38"/>
      <c r="F180" s="36"/>
      <c r="G180" s="38"/>
      <c r="H180" s="38"/>
      <c r="I180" s="38"/>
    </row>
    <row r="181" spans="1:9" x14ac:dyDescent="0.25">
      <c r="F181" s="6"/>
    </row>
    <row r="182" spans="1:9" x14ac:dyDescent="0.25">
      <c r="F182" s="6"/>
    </row>
    <row r="183" spans="1:9" x14ac:dyDescent="0.25">
      <c r="F183" s="6"/>
    </row>
    <row r="184" spans="1:9" x14ac:dyDescent="0.25">
      <c r="F184" s="6"/>
    </row>
    <row r="185" spans="1:9" x14ac:dyDescent="0.25">
      <c r="F185" s="6"/>
    </row>
    <row r="186" spans="1:9" x14ac:dyDescent="0.25">
      <c r="F186" s="6"/>
    </row>
    <row r="187" spans="1:9" x14ac:dyDescent="0.25">
      <c r="F187" s="6"/>
    </row>
  </sheetData>
  <mergeCells count="2">
    <mergeCell ref="A3:H3"/>
    <mergeCell ref="B162:I162"/>
  </mergeCells>
  <pageMargins left="0.7" right="0.7" top="0.75" bottom="0.75" header="0.3" footer="0.3"/>
  <pageSetup scale="44" orientation="landscape" r:id="rId1"/>
  <headerFooter>
    <oddHeader>&amp;CRESTRICTED</oddHeader>
    <oddFooter>&amp;CRESTRICTED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2"/>
  <sheetViews>
    <sheetView view="pageLayout" topLeftCell="A125" zoomScaleNormal="100" workbookViewId="0">
      <selection activeCell="D391" sqref="D391"/>
    </sheetView>
  </sheetViews>
  <sheetFormatPr defaultRowHeight="15" x14ac:dyDescent="0.25"/>
  <cols>
    <col min="1" max="1" width="4.7109375" bestFit="1" customWidth="1"/>
    <col min="2" max="2" width="12.7109375" bestFit="1" customWidth="1"/>
    <col min="3" max="3" width="12.42578125" bestFit="1" customWidth="1"/>
    <col min="4" max="4" width="26" customWidth="1"/>
    <col min="5" max="5" width="5.5703125" style="6" customWidth="1"/>
    <col min="6" max="6" width="16" bestFit="1" customWidth="1"/>
    <col min="7" max="7" width="19.7109375" customWidth="1"/>
    <col min="8" max="8" width="36.140625" customWidth="1"/>
  </cols>
  <sheetData>
    <row r="1" spans="1:8" ht="18" x14ac:dyDescent="0.25">
      <c r="A1" s="221" t="s">
        <v>579</v>
      </c>
      <c r="B1" s="221"/>
      <c r="C1" s="221"/>
      <c r="D1" s="221"/>
      <c r="E1" s="221"/>
      <c r="F1" s="221"/>
      <c r="G1" s="221"/>
    </row>
    <row r="2" spans="1:8" s="73" customFormat="1" ht="14.25" x14ac:dyDescent="0.2">
      <c r="A2" s="220" t="s">
        <v>580</v>
      </c>
      <c r="B2" s="220"/>
      <c r="C2" s="220"/>
      <c r="D2" s="220"/>
      <c r="E2" s="220"/>
      <c r="F2" s="220"/>
    </row>
    <row r="3" spans="1:8" s="73" customFormat="1" ht="22.5" x14ac:dyDescent="0.3">
      <c r="A3" s="3"/>
      <c r="B3" s="3"/>
      <c r="C3" s="59"/>
      <c r="D3" s="59"/>
      <c r="E3" s="59"/>
      <c r="F3" s="59"/>
      <c r="G3" s="3"/>
    </row>
    <row r="4" spans="1:8" s="73" customFormat="1" ht="23.25" x14ac:dyDescent="0.2">
      <c r="A4" s="61" t="s">
        <v>153</v>
      </c>
      <c r="B4" s="62" t="s">
        <v>1</v>
      </c>
      <c r="C4" s="63" t="s">
        <v>2</v>
      </c>
      <c r="D4" s="63" t="s">
        <v>100</v>
      </c>
      <c r="E4" s="63" t="s">
        <v>4</v>
      </c>
      <c r="F4" s="72" t="s">
        <v>540</v>
      </c>
      <c r="G4" s="63" t="s">
        <v>542</v>
      </c>
      <c r="H4" s="58" t="s">
        <v>541</v>
      </c>
    </row>
    <row r="5" spans="1:8" s="73" customFormat="1" ht="12" x14ac:dyDescent="0.2">
      <c r="A5" s="63" t="s">
        <v>8</v>
      </c>
      <c r="B5" s="63" t="s">
        <v>10</v>
      </c>
      <c r="C5" s="63" t="s">
        <v>11</v>
      </c>
      <c r="D5" s="63" t="s">
        <v>12</v>
      </c>
      <c r="E5" s="63" t="s">
        <v>14</v>
      </c>
      <c r="F5" s="63" t="s">
        <v>15</v>
      </c>
      <c r="G5" s="63" t="s">
        <v>16</v>
      </c>
      <c r="H5" s="67"/>
    </row>
    <row r="6" spans="1:8" s="73" customFormat="1" ht="12" x14ac:dyDescent="0.2">
      <c r="A6" s="64"/>
      <c r="B6" s="63" t="s">
        <v>543</v>
      </c>
      <c r="C6" s="63">
        <v>2200600002</v>
      </c>
      <c r="D6" s="58" t="s">
        <v>216</v>
      </c>
      <c r="E6" s="64"/>
      <c r="F6" s="63" t="s">
        <v>549</v>
      </c>
      <c r="G6" s="63" t="s">
        <v>549</v>
      </c>
      <c r="H6" s="41" t="s">
        <v>547</v>
      </c>
    </row>
    <row r="7" spans="1:8" s="73" customFormat="1" ht="12" x14ac:dyDescent="0.2">
      <c r="A7" s="64">
        <v>1</v>
      </c>
      <c r="B7" s="60"/>
      <c r="C7" s="60"/>
      <c r="D7" s="65" t="s">
        <v>17</v>
      </c>
      <c r="E7" s="64">
        <v>500</v>
      </c>
      <c r="F7" s="181">
        <v>130</v>
      </c>
      <c r="G7" s="181">
        <f>E7*F7</f>
        <v>65000</v>
      </c>
      <c r="H7" s="67"/>
    </row>
    <row r="8" spans="1:8" s="73" customFormat="1" ht="12" x14ac:dyDescent="0.2">
      <c r="A8" s="64">
        <v>2</v>
      </c>
      <c r="B8" s="60"/>
      <c r="C8" s="60"/>
      <c r="D8" s="60" t="s">
        <v>18</v>
      </c>
      <c r="E8" s="64">
        <v>100</v>
      </c>
      <c r="F8" s="181">
        <v>110</v>
      </c>
      <c r="G8" s="181">
        <f t="shared" ref="G8:G71" si="0">E8*F8</f>
        <v>11000</v>
      </c>
      <c r="H8" s="67"/>
    </row>
    <row r="9" spans="1:8" s="73" customFormat="1" ht="12" x14ac:dyDescent="0.2">
      <c r="A9" s="64">
        <v>3</v>
      </c>
      <c r="B9" s="60"/>
      <c r="C9" s="60"/>
      <c r="D9" s="60" t="s">
        <v>19</v>
      </c>
      <c r="E9" s="64">
        <v>20</v>
      </c>
      <c r="F9" s="181">
        <v>115</v>
      </c>
      <c r="G9" s="181">
        <f t="shared" si="0"/>
        <v>2300</v>
      </c>
      <c r="H9" s="67"/>
    </row>
    <row r="10" spans="1:8" s="73" customFormat="1" ht="12" x14ac:dyDescent="0.2">
      <c r="A10" s="64">
        <v>4</v>
      </c>
      <c r="B10" s="60"/>
      <c r="C10" s="60"/>
      <c r="D10" s="60" t="s">
        <v>205</v>
      </c>
      <c r="E10" s="64">
        <v>1000</v>
      </c>
      <c r="F10" s="181">
        <v>180</v>
      </c>
      <c r="G10" s="181">
        <f t="shared" si="0"/>
        <v>180000</v>
      </c>
      <c r="H10" s="67"/>
    </row>
    <row r="11" spans="1:8" s="73" customFormat="1" ht="12" x14ac:dyDescent="0.2">
      <c r="A11" s="64">
        <v>5</v>
      </c>
      <c r="B11" s="60"/>
      <c r="C11" s="60"/>
      <c r="D11" s="60" t="s">
        <v>137</v>
      </c>
      <c r="E11" s="64">
        <v>1000</v>
      </c>
      <c r="F11" s="181">
        <v>220</v>
      </c>
      <c r="G11" s="181">
        <f t="shared" si="0"/>
        <v>220000</v>
      </c>
      <c r="H11" s="67"/>
    </row>
    <row r="12" spans="1:8" s="73" customFormat="1" ht="12" x14ac:dyDescent="0.2">
      <c r="A12" s="64">
        <v>6</v>
      </c>
      <c r="B12" s="60"/>
      <c r="C12" s="60"/>
      <c r="D12" s="60" t="s">
        <v>206</v>
      </c>
      <c r="E12" s="64">
        <v>500</v>
      </c>
      <c r="F12" s="181">
        <v>140</v>
      </c>
      <c r="G12" s="181">
        <f t="shared" si="0"/>
        <v>70000</v>
      </c>
      <c r="H12" s="67"/>
    </row>
    <row r="13" spans="1:8" s="73" customFormat="1" ht="12" x14ac:dyDescent="0.2">
      <c r="A13" s="64">
        <v>7</v>
      </c>
      <c r="B13" s="60"/>
      <c r="C13" s="60"/>
      <c r="D13" s="60" t="s">
        <v>218</v>
      </c>
      <c r="E13" s="64">
        <v>500</v>
      </c>
      <c r="F13" s="181">
        <v>200</v>
      </c>
      <c r="G13" s="181">
        <f t="shared" si="0"/>
        <v>100000</v>
      </c>
      <c r="H13" s="67"/>
    </row>
    <row r="14" spans="1:8" s="73" customFormat="1" ht="12" x14ac:dyDescent="0.2">
      <c r="A14" s="64">
        <v>8</v>
      </c>
      <c r="B14" s="60"/>
      <c r="C14" s="60"/>
      <c r="D14" s="60" t="s">
        <v>219</v>
      </c>
      <c r="E14" s="64">
        <v>200</v>
      </c>
      <c r="F14" s="181">
        <v>290</v>
      </c>
      <c r="G14" s="181">
        <f t="shared" si="0"/>
        <v>58000</v>
      </c>
      <c r="H14" s="67"/>
    </row>
    <row r="15" spans="1:8" s="73" customFormat="1" ht="12" x14ac:dyDescent="0.2">
      <c r="A15" s="64">
        <v>9</v>
      </c>
      <c r="B15" s="60"/>
      <c r="C15" s="60"/>
      <c r="D15" s="60" t="s">
        <v>28</v>
      </c>
      <c r="E15" s="64">
        <v>1000</v>
      </c>
      <c r="F15" s="181">
        <v>110</v>
      </c>
      <c r="G15" s="181">
        <f t="shared" si="0"/>
        <v>110000</v>
      </c>
      <c r="H15" s="67"/>
    </row>
    <row r="16" spans="1:8" s="73" customFormat="1" ht="12" x14ac:dyDescent="0.2">
      <c r="A16" s="64">
        <v>10</v>
      </c>
      <c r="B16" s="60"/>
      <c r="C16" s="60"/>
      <c r="D16" s="60" t="s">
        <v>269</v>
      </c>
      <c r="E16" s="64">
        <v>10</v>
      </c>
      <c r="F16" s="181">
        <v>110</v>
      </c>
      <c r="G16" s="181">
        <f t="shared" si="0"/>
        <v>1100</v>
      </c>
      <c r="H16" s="67"/>
    </row>
    <row r="17" spans="1:8" s="73" customFormat="1" ht="12" x14ac:dyDescent="0.2">
      <c r="A17" s="64">
        <v>11</v>
      </c>
      <c r="B17" s="60"/>
      <c r="C17" s="60"/>
      <c r="D17" s="60" t="s">
        <v>217</v>
      </c>
      <c r="E17" s="64">
        <v>100</v>
      </c>
      <c r="F17" s="181">
        <v>250</v>
      </c>
      <c r="G17" s="181">
        <f t="shared" si="0"/>
        <v>25000</v>
      </c>
      <c r="H17" s="67"/>
    </row>
    <row r="18" spans="1:8" s="73" customFormat="1" ht="12" x14ac:dyDescent="0.2">
      <c r="A18" s="64">
        <v>12</v>
      </c>
      <c r="B18" s="60"/>
      <c r="C18" s="60"/>
      <c r="D18" s="60" t="s">
        <v>209</v>
      </c>
      <c r="E18" s="64">
        <v>200</v>
      </c>
      <c r="F18" s="181">
        <v>360</v>
      </c>
      <c r="G18" s="181">
        <f t="shared" si="0"/>
        <v>72000</v>
      </c>
      <c r="H18" s="67"/>
    </row>
    <row r="19" spans="1:8" s="73" customFormat="1" ht="12" x14ac:dyDescent="0.2">
      <c r="A19" s="64">
        <v>13</v>
      </c>
      <c r="B19" s="60"/>
      <c r="C19" s="60"/>
      <c r="D19" s="60" t="s">
        <v>207</v>
      </c>
      <c r="E19" s="64">
        <v>100</v>
      </c>
      <c r="F19" s="181">
        <v>370</v>
      </c>
      <c r="G19" s="181">
        <f t="shared" si="0"/>
        <v>37000</v>
      </c>
      <c r="H19" s="67"/>
    </row>
    <row r="20" spans="1:8" s="73" customFormat="1" ht="12" x14ac:dyDescent="0.2">
      <c r="A20" s="64">
        <v>14</v>
      </c>
      <c r="B20" s="60"/>
      <c r="C20" s="60"/>
      <c r="D20" s="60" t="s">
        <v>213</v>
      </c>
      <c r="E20" s="64">
        <v>200</v>
      </c>
      <c r="F20" s="181">
        <v>220</v>
      </c>
      <c r="G20" s="181">
        <f t="shared" si="0"/>
        <v>44000</v>
      </c>
      <c r="H20" s="67"/>
    </row>
    <row r="21" spans="1:8" s="73" customFormat="1" ht="12" x14ac:dyDescent="0.2">
      <c r="A21" s="64">
        <v>15</v>
      </c>
      <c r="B21" s="60"/>
      <c r="C21" s="60"/>
      <c r="D21" s="60" t="s">
        <v>220</v>
      </c>
      <c r="E21" s="64">
        <v>50</v>
      </c>
      <c r="F21" s="181">
        <v>100</v>
      </c>
      <c r="G21" s="181">
        <f t="shared" si="0"/>
        <v>5000</v>
      </c>
      <c r="H21" s="67"/>
    </row>
    <row r="22" spans="1:8" s="73" customFormat="1" ht="12" x14ac:dyDescent="0.2">
      <c r="A22" s="64">
        <v>16</v>
      </c>
      <c r="B22" s="60"/>
      <c r="C22" s="60"/>
      <c r="D22" s="60" t="s">
        <v>221</v>
      </c>
      <c r="E22" s="64">
        <v>30</v>
      </c>
      <c r="F22" s="181">
        <v>100</v>
      </c>
      <c r="G22" s="181">
        <f t="shared" si="0"/>
        <v>3000</v>
      </c>
      <c r="H22" s="67"/>
    </row>
    <row r="23" spans="1:8" s="73" customFormat="1" ht="12" x14ac:dyDescent="0.2">
      <c r="A23" s="64">
        <v>17</v>
      </c>
      <c r="B23" s="60"/>
      <c r="C23" s="60"/>
      <c r="D23" s="60" t="s">
        <v>332</v>
      </c>
      <c r="E23" s="64">
        <v>350</v>
      </c>
      <c r="F23" s="181">
        <v>280</v>
      </c>
      <c r="G23" s="181">
        <f t="shared" si="0"/>
        <v>98000</v>
      </c>
      <c r="H23" s="67"/>
    </row>
    <row r="24" spans="1:8" s="73" customFormat="1" ht="12" x14ac:dyDescent="0.2">
      <c r="A24" s="64">
        <v>18</v>
      </c>
      <c r="B24" s="60"/>
      <c r="C24" s="60"/>
      <c r="D24" s="60" t="s">
        <v>333</v>
      </c>
      <c r="E24" s="64">
        <v>300</v>
      </c>
      <c r="F24" s="181">
        <v>300</v>
      </c>
      <c r="G24" s="181">
        <f t="shared" si="0"/>
        <v>90000</v>
      </c>
      <c r="H24" s="67"/>
    </row>
    <row r="25" spans="1:8" s="73" customFormat="1" ht="12" x14ac:dyDescent="0.2">
      <c r="A25" s="64">
        <v>19</v>
      </c>
      <c r="B25" s="60"/>
      <c r="C25" s="60"/>
      <c r="D25" s="60" t="s">
        <v>334</v>
      </c>
      <c r="E25" s="64">
        <v>300</v>
      </c>
      <c r="F25" s="181">
        <v>300</v>
      </c>
      <c r="G25" s="181">
        <f t="shared" si="0"/>
        <v>90000</v>
      </c>
      <c r="H25" s="67"/>
    </row>
    <row r="26" spans="1:8" s="73" customFormat="1" ht="12" x14ac:dyDescent="0.2">
      <c r="A26" s="64">
        <v>20</v>
      </c>
      <c r="B26" s="60"/>
      <c r="C26" s="60"/>
      <c r="D26" s="60" t="s">
        <v>335</v>
      </c>
      <c r="E26" s="64">
        <v>300</v>
      </c>
      <c r="F26" s="181">
        <v>300</v>
      </c>
      <c r="G26" s="181">
        <f t="shared" si="0"/>
        <v>90000</v>
      </c>
      <c r="H26" s="67"/>
    </row>
    <row r="27" spans="1:8" s="73" customFormat="1" ht="12" x14ac:dyDescent="0.2">
      <c r="A27" s="64">
        <v>21</v>
      </c>
      <c r="B27" s="60"/>
      <c r="C27" s="60"/>
      <c r="D27" s="60" t="s">
        <v>336</v>
      </c>
      <c r="E27" s="64">
        <v>150</v>
      </c>
      <c r="F27" s="181">
        <v>100</v>
      </c>
      <c r="G27" s="181">
        <f t="shared" si="0"/>
        <v>15000</v>
      </c>
      <c r="H27" s="67"/>
    </row>
    <row r="28" spans="1:8" s="73" customFormat="1" ht="12" x14ac:dyDescent="0.2">
      <c r="A28" s="64">
        <v>22</v>
      </c>
      <c r="B28" s="60"/>
      <c r="C28" s="60"/>
      <c r="D28" s="60" t="s">
        <v>337</v>
      </c>
      <c r="E28" s="64">
        <v>100</v>
      </c>
      <c r="F28" s="181">
        <v>100</v>
      </c>
      <c r="G28" s="181">
        <f t="shared" si="0"/>
        <v>10000</v>
      </c>
      <c r="H28" s="67"/>
    </row>
    <row r="29" spans="1:8" s="73" customFormat="1" ht="12" x14ac:dyDescent="0.2">
      <c r="A29" s="64">
        <v>23</v>
      </c>
      <c r="B29" s="60"/>
      <c r="C29" s="60"/>
      <c r="D29" s="60" t="s">
        <v>338</v>
      </c>
      <c r="E29" s="64">
        <v>100</v>
      </c>
      <c r="F29" s="181">
        <v>100</v>
      </c>
      <c r="G29" s="181">
        <f t="shared" si="0"/>
        <v>10000</v>
      </c>
      <c r="H29" s="67"/>
    </row>
    <row r="30" spans="1:8" s="73" customFormat="1" ht="12" x14ac:dyDescent="0.2">
      <c r="A30" s="64">
        <v>24</v>
      </c>
      <c r="B30" s="60"/>
      <c r="C30" s="60"/>
      <c r="D30" s="60" t="s">
        <v>339</v>
      </c>
      <c r="E30" s="64">
        <v>100</v>
      </c>
      <c r="F30" s="181">
        <v>100</v>
      </c>
      <c r="G30" s="181">
        <f t="shared" si="0"/>
        <v>10000</v>
      </c>
      <c r="H30" s="67"/>
    </row>
    <row r="31" spans="1:8" s="73" customFormat="1" ht="12" x14ac:dyDescent="0.2">
      <c r="A31" s="64">
        <v>25</v>
      </c>
      <c r="B31" s="60"/>
      <c r="C31" s="60"/>
      <c r="D31" s="60" t="s">
        <v>234</v>
      </c>
      <c r="E31" s="64">
        <v>20</v>
      </c>
      <c r="F31" s="181">
        <v>100</v>
      </c>
      <c r="G31" s="181">
        <f t="shared" si="0"/>
        <v>2000</v>
      </c>
      <c r="H31" s="67"/>
    </row>
    <row r="32" spans="1:8" s="73" customFormat="1" ht="12" x14ac:dyDescent="0.2">
      <c r="A32" s="64">
        <v>26</v>
      </c>
      <c r="B32" s="60"/>
      <c r="C32" s="60"/>
      <c r="D32" s="60" t="s">
        <v>235</v>
      </c>
      <c r="E32" s="64">
        <v>10</v>
      </c>
      <c r="F32" s="181">
        <v>100</v>
      </c>
      <c r="G32" s="181">
        <f t="shared" si="0"/>
        <v>1000</v>
      </c>
      <c r="H32" s="67"/>
    </row>
    <row r="33" spans="1:8" s="73" customFormat="1" ht="12" x14ac:dyDescent="0.2">
      <c r="A33" s="64">
        <v>27</v>
      </c>
      <c r="B33" s="60"/>
      <c r="C33" s="60"/>
      <c r="D33" s="60" t="s">
        <v>236</v>
      </c>
      <c r="E33" s="64">
        <v>10</v>
      </c>
      <c r="F33" s="181">
        <v>100</v>
      </c>
      <c r="G33" s="181">
        <f t="shared" si="0"/>
        <v>1000</v>
      </c>
      <c r="H33" s="67"/>
    </row>
    <row r="34" spans="1:8" s="73" customFormat="1" ht="12" x14ac:dyDescent="0.2">
      <c r="A34" s="64">
        <v>28</v>
      </c>
      <c r="B34" s="60"/>
      <c r="C34" s="60"/>
      <c r="D34" s="60" t="s">
        <v>237</v>
      </c>
      <c r="E34" s="64">
        <v>10</v>
      </c>
      <c r="F34" s="181">
        <v>100</v>
      </c>
      <c r="G34" s="181">
        <f t="shared" si="0"/>
        <v>1000</v>
      </c>
      <c r="H34" s="67"/>
    </row>
    <row r="35" spans="1:8" s="73" customFormat="1" ht="12" x14ac:dyDescent="0.2">
      <c r="A35" s="64">
        <v>29</v>
      </c>
      <c r="B35" s="60"/>
      <c r="C35" s="60"/>
      <c r="D35" s="60" t="s">
        <v>328</v>
      </c>
      <c r="E35" s="64">
        <v>100</v>
      </c>
      <c r="F35" s="181">
        <v>120</v>
      </c>
      <c r="G35" s="181">
        <f t="shared" si="0"/>
        <v>12000</v>
      </c>
      <c r="H35" s="67"/>
    </row>
    <row r="36" spans="1:8" s="73" customFormat="1" ht="12" x14ac:dyDescent="0.2">
      <c r="A36" s="64">
        <v>30</v>
      </c>
      <c r="B36" s="60"/>
      <c r="C36" s="60"/>
      <c r="D36" s="60" t="s">
        <v>329</v>
      </c>
      <c r="E36" s="64">
        <v>50</v>
      </c>
      <c r="F36" s="181">
        <v>115</v>
      </c>
      <c r="G36" s="181">
        <f t="shared" si="0"/>
        <v>5750</v>
      </c>
      <c r="H36" s="67"/>
    </row>
    <row r="37" spans="1:8" s="73" customFormat="1" ht="12" x14ac:dyDescent="0.2">
      <c r="A37" s="64">
        <v>31</v>
      </c>
      <c r="B37" s="60"/>
      <c r="C37" s="60"/>
      <c r="D37" s="60" t="s">
        <v>330</v>
      </c>
      <c r="E37" s="64">
        <v>50</v>
      </c>
      <c r="F37" s="181">
        <v>115</v>
      </c>
      <c r="G37" s="181">
        <f t="shared" si="0"/>
        <v>5750</v>
      </c>
      <c r="H37" s="67"/>
    </row>
    <row r="38" spans="1:8" s="73" customFormat="1" ht="12" x14ac:dyDescent="0.2">
      <c r="A38" s="64">
        <v>32</v>
      </c>
      <c r="B38" s="60"/>
      <c r="C38" s="60"/>
      <c r="D38" s="60" t="s">
        <v>331</v>
      </c>
      <c r="E38" s="64">
        <v>50</v>
      </c>
      <c r="F38" s="181">
        <v>115</v>
      </c>
      <c r="G38" s="181">
        <f t="shared" si="0"/>
        <v>5750</v>
      </c>
      <c r="H38" s="67"/>
    </row>
    <row r="39" spans="1:8" s="73" customFormat="1" ht="12" x14ac:dyDescent="0.2">
      <c r="A39" s="64">
        <v>33</v>
      </c>
      <c r="B39" s="60"/>
      <c r="C39" s="60"/>
      <c r="D39" s="60" t="s">
        <v>327</v>
      </c>
      <c r="E39" s="64">
        <v>50</v>
      </c>
      <c r="F39" s="181">
        <v>330</v>
      </c>
      <c r="G39" s="181">
        <f t="shared" si="0"/>
        <v>16500</v>
      </c>
      <c r="H39" s="67"/>
    </row>
    <row r="40" spans="1:8" s="73" customFormat="1" ht="12" x14ac:dyDescent="0.2">
      <c r="A40" s="64">
        <v>34</v>
      </c>
      <c r="B40" s="60"/>
      <c r="C40" s="60"/>
      <c r="D40" s="60" t="s">
        <v>325</v>
      </c>
      <c r="E40" s="64">
        <v>30</v>
      </c>
      <c r="F40" s="181">
        <v>330</v>
      </c>
      <c r="G40" s="181">
        <f t="shared" si="0"/>
        <v>9900</v>
      </c>
      <c r="H40" s="67"/>
    </row>
    <row r="41" spans="1:8" s="73" customFormat="1" ht="12" x14ac:dyDescent="0.2">
      <c r="A41" s="64">
        <v>35</v>
      </c>
      <c r="B41" s="60"/>
      <c r="C41" s="60"/>
      <c r="D41" s="60" t="s">
        <v>324</v>
      </c>
      <c r="E41" s="64">
        <v>30</v>
      </c>
      <c r="F41" s="181">
        <v>330</v>
      </c>
      <c r="G41" s="181">
        <f t="shared" si="0"/>
        <v>9900</v>
      </c>
      <c r="H41" s="67"/>
    </row>
    <row r="42" spans="1:8" s="73" customFormat="1" ht="23.25" x14ac:dyDescent="0.2">
      <c r="A42" s="64">
        <v>36</v>
      </c>
      <c r="B42" s="60"/>
      <c r="C42" s="60"/>
      <c r="D42" s="91" t="s">
        <v>326</v>
      </c>
      <c r="E42" s="64">
        <v>30</v>
      </c>
      <c r="F42" s="181">
        <v>330</v>
      </c>
      <c r="G42" s="181">
        <f t="shared" si="0"/>
        <v>9900</v>
      </c>
      <c r="H42" s="67"/>
    </row>
    <row r="43" spans="1:8" s="73" customFormat="1" ht="12" x14ac:dyDescent="0.2">
      <c r="A43" s="64">
        <v>37</v>
      </c>
      <c r="B43" s="60"/>
      <c r="C43" s="60"/>
      <c r="D43" s="60" t="s">
        <v>111</v>
      </c>
      <c r="E43" s="64">
        <v>200</v>
      </c>
      <c r="F43" s="181">
        <v>40</v>
      </c>
      <c r="G43" s="181">
        <f t="shared" si="0"/>
        <v>8000</v>
      </c>
      <c r="H43" s="41" t="s">
        <v>257</v>
      </c>
    </row>
    <row r="44" spans="1:8" s="73" customFormat="1" ht="12" x14ac:dyDescent="0.2">
      <c r="A44" s="64">
        <v>38</v>
      </c>
      <c r="B44" s="60"/>
      <c r="C44" s="60"/>
      <c r="D44" s="60" t="s">
        <v>112</v>
      </c>
      <c r="E44" s="64">
        <v>200</v>
      </c>
      <c r="F44" s="181">
        <v>40</v>
      </c>
      <c r="G44" s="181">
        <f t="shared" si="0"/>
        <v>8000</v>
      </c>
      <c r="H44" s="67"/>
    </row>
    <row r="45" spans="1:8" s="73" customFormat="1" ht="12" x14ac:dyDescent="0.2">
      <c r="A45" s="64">
        <v>39</v>
      </c>
      <c r="B45" s="60"/>
      <c r="C45" s="60"/>
      <c r="D45" s="60" t="s">
        <v>40</v>
      </c>
      <c r="E45" s="64">
        <v>100</v>
      </c>
      <c r="F45" s="181">
        <v>80</v>
      </c>
      <c r="G45" s="181">
        <f t="shared" si="0"/>
        <v>8000</v>
      </c>
      <c r="H45" s="67"/>
    </row>
    <row r="46" spans="1:8" s="73" customFormat="1" ht="12" x14ac:dyDescent="0.2">
      <c r="A46" s="64">
        <v>40</v>
      </c>
      <c r="B46" s="60"/>
      <c r="C46" s="60"/>
      <c r="D46" s="60" t="s">
        <v>39</v>
      </c>
      <c r="E46" s="64">
        <v>100</v>
      </c>
      <c r="F46" s="181">
        <v>80</v>
      </c>
      <c r="G46" s="181">
        <f t="shared" si="0"/>
        <v>8000</v>
      </c>
      <c r="H46" s="67"/>
    </row>
    <row r="47" spans="1:8" s="73" customFormat="1" ht="12" x14ac:dyDescent="0.2">
      <c r="A47" s="64">
        <v>41</v>
      </c>
      <c r="B47" s="60"/>
      <c r="C47" s="60"/>
      <c r="D47" s="60" t="s">
        <v>210</v>
      </c>
      <c r="E47" s="64">
        <v>10</v>
      </c>
      <c r="F47" s="181">
        <v>200</v>
      </c>
      <c r="G47" s="181">
        <f t="shared" si="0"/>
        <v>2000</v>
      </c>
      <c r="H47" s="67"/>
    </row>
    <row r="48" spans="1:8" s="73" customFormat="1" ht="12" x14ac:dyDescent="0.2">
      <c r="A48" s="64">
        <v>42</v>
      </c>
      <c r="B48" s="60"/>
      <c r="C48" s="60"/>
      <c r="D48" s="60" t="s">
        <v>211</v>
      </c>
      <c r="E48" s="64">
        <v>15</v>
      </c>
      <c r="F48" s="181">
        <v>200</v>
      </c>
      <c r="G48" s="181">
        <f t="shared" si="0"/>
        <v>3000</v>
      </c>
      <c r="H48" s="67"/>
    </row>
    <row r="49" spans="1:8" s="73" customFormat="1" ht="12" x14ac:dyDescent="0.2">
      <c r="A49" s="64">
        <v>43</v>
      </c>
      <c r="B49" s="60"/>
      <c r="C49" s="60"/>
      <c r="D49" s="60" t="s">
        <v>222</v>
      </c>
      <c r="E49" s="64">
        <v>150</v>
      </c>
      <c r="F49" s="181">
        <v>80</v>
      </c>
      <c r="G49" s="181">
        <f t="shared" si="0"/>
        <v>12000</v>
      </c>
      <c r="H49" s="67"/>
    </row>
    <row r="50" spans="1:8" s="73" customFormat="1" ht="12" x14ac:dyDescent="0.2">
      <c r="A50" s="64">
        <v>44</v>
      </c>
      <c r="B50" s="60"/>
      <c r="C50" s="60"/>
      <c r="D50" s="60" t="s">
        <v>223</v>
      </c>
      <c r="E50" s="64">
        <v>100</v>
      </c>
      <c r="F50" s="181">
        <v>80</v>
      </c>
      <c r="G50" s="181">
        <f t="shared" si="0"/>
        <v>8000</v>
      </c>
      <c r="H50" s="67"/>
    </row>
    <row r="51" spans="1:8" s="73" customFormat="1" ht="12" x14ac:dyDescent="0.2">
      <c r="A51" s="64">
        <v>45</v>
      </c>
      <c r="B51" s="60"/>
      <c r="C51" s="60"/>
      <c r="D51" s="60" t="s">
        <v>224</v>
      </c>
      <c r="E51" s="64">
        <v>100</v>
      </c>
      <c r="F51" s="181">
        <v>80</v>
      </c>
      <c r="G51" s="181">
        <f t="shared" si="0"/>
        <v>8000</v>
      </c>
      <c r="H51" s="67"/>
    </row>
    <row r="52" spans="1:8" s="73" customFormat="1" ht="12" x14ac:dyDescent="0.2">
      <c r="A52" s="64">
        <v>46</v>
      </c>
      <c r="B52" s="60"/>
      <c r="C52" s="60"/>
      <c r="D52" s="60" t="s">
        <v>225</v>
      </c>
      <c r="E52" s="64">
        <v>100</v>
      </c>
      <c r="F52" s="181">
        <v>80</v>
      </c>
      <c r="G52" s="181">
        <f t="shared" si="0"/>
        <v>8000</v>
      </c>
      <c r="H52" s="67"/>
    </row>
    <row r="53" spans="1:8" s="73" customFormat="1" ht="12" x14ac:dyDescent="0.2">
      <c r="A53" s="64">
        <v>47</v>
      </c>
      <c r="B53" s="60"/>
      <c r="C53" s="60"/>
      <c r="D53" s="60" t="s">
        <v>230</v>
      </c>
      <c r="E53" s="64">
        <v>150</v>
      </c>
      <c r="F53" s="181">
        <v>350</v>
      </c>
      <c r="G53" s="181">
        <f t="shared" si="0"/>
        <v>52500</v>
      </c>
      <c r="H53" s="67"/>
    </row>
    <row r="54" spans="1:8" s="73" customFormat="1" ht="12" x14ac:dyDescent="0.2">
      <c r="A54" s="64">
        <v>48</v>
      </c>
      <c r="B54" s="60"/>
      <c r="C54" s="60"/>
      <c r="D54" s="60" t="s">
        <v>231</v>
      </c>
      <c r="E54" s="64">
        <v>100</v>
      </c>
      <c r="F54" s="181">
        <v>350</v>
      </c>
      <c r="G54" s="181">
        <f t="shared" si="0"/>
        <v>35000</v>
      </c>
      <c r="H54" s="67"/>
    </row>
    <row r="55" spans="1:8" s="73" customFormat="1" ht="12" x14ac:dyDescent="0.2">
      <c r="A55" s="64">
        <v>49</v>
      </c>
      <c r="B55" s="60"/>
      <c r="C55" s="60"/>
      <c r="D55" s="60" t="s">
        <v>281</v>
      </c>
      <c r="E55" s="64">
        <v>100</v>
      </c>
      <c r="F55" s="181">
        <v>350</v>
      </c>
      <c r="G55" s="181">
        <f t="shared" si="0"/>
        <v>35000</v>
      </c>
      <c r="H55" s="67"/>
    </row>
    <row r="56" spans="1:8" s="73" customFormat="1" ht="12" x14ac:dyDescent="0.2">
      <c r="A56" s="64">
        <v>50</v>
      </c>
      <c r="B56" s="60"/>
      <c r="C56" s="60"/>
      <c r="D56" s="60" t="s">
        <v>280</v>
      </c>
      <c r="E56" s="64">
        <v>100</v>
      </c>
      <c r="F56" s="181">
        <v>350</v>
      </c>
      <c r="G56" s="181">
        <f t="shared" si="0"/>
        <v>35000</v>
      </c>
      <c r="H56" s="67"/>
    </row>
    <row r="57" spans="1:8" s="73" customFormat="1" ht="12" x14ac:dyDescent="0.2">
      <c r="A57" s="66">
        <v>51</v>
      </c>
      <c r="B57" s="67"/>
      <c r="C57" s="67"/>
      <c r="D57" s="68" t="s">
        <v>226</v>
      </c>
      <c r="E57" s="64">
        <v>200</v>
      </c>
      <c r="F57" s="183">
        <v>360</v>
      </c>
      <c r="G57" s="181">
        <f t="shared" si="0"/>
        <v>72000</v>
      </c>
      <c r="H57" s="67"/>
    </row>
    <row r="58" spans="1:8" s="73" customFormat="1" ht="12" x14ac:dyDescent="0.2">
      <c r="A58" s="64">
        <v>52</v>
      </c>
      <c r="B58" s="60"/>
      <c r="C58" s="60"/>
      <c r="D58" s="60" t="s">
        <v>227</v>
      </c>
      <c r="E58" s="64">
        <v>150</v>
      </c>
      <c r="F58" s="181">
        <v>360</v>
      </c>
      <c r="G58" s="181">
        <f t="shared" si="0"/>
        <v>54000</v>
      </c>
      <c r="H58" s="67"/>
    </row>
    <row r="59" spans="1:8" s="73" customFormat="1" ht="12" x14ac:dyDescent="0.2">
      <c r="A59" s="64">
        <v>53</v>
      </c>
      <c r="B59" s="60"/>
      <c r="C59" s="60"/>
      <c r="D59" s="60" t="s">
        <v>228</v>
      </c>
      <c r="E59" s="64">
        <v>150</v>
      </c>
      <c r="F59" s="181">
        <v>360</v>
      </c>
      <c r="G59" s="181">
        <f t="shared" si="0"/>
        <v>54000</v>
      </c>
      <c r="H59" s="67"/>
    </row>
    <row r="60" spans="1:8" s="73" customFormat="1" ht="12" x14ac:dyDescent="0.2">
      <c r="A60" s="64">
        <v>54</v>
      </c>
      <c r="B60" s="60"/>
      <c r="C60" s="60"/>
      <c r="D60" s="60" t="s">
        <v>229</v>
      </c>
      <c r="E60" s="64">
        <v>150</v>
      </c>
      <c r="F60" s="181">
        <v>360</v>
      </c>
      <c r="G60" s="181">
        <f t="shared" si="0"/>
        <v>54000</v>
      </c>
      <c r="H60" s="67"/>
    </row>
    <row r="61" spans="1:8" s="73" customFormat="1" ht="23.25" x14ac:dyDescent="0.2">
      <c r="A61" s="64">
        <v>55</v>
      </c>
      <c r="B61" s="60"/>
      <c r="C61" s="60"/>
      <c r="D61" s="91" t="s">
        <v>270</v>
      </c>
      <c r="E61" s="64">
        <v>150</v>
      </c>
      <c r="F61" s="181">
        <v>500</v>
      </c>
      <c r="G61" s="181">
        <f t="shared" si="0"/>
        <v>75000</v>
      </c>
      <c r="H61" s="67"/>
    </row>
    <row r="62" spans="1:8" s="73" customFormat="1" ht="12" x14ac:dyDescent="0.2">
      <c r="A62" s="64">
        <v>56</v>
      </c>
      <c r="B62" s="60"/>
      <c r="C62" s="60"/>
      <c r="D62" s="60" t="s">
        <v>271</v>
      </c>
      <c r="E62" s="64">
        <v>200</v>
      </c>
      <c r="F62" s="181">
        <v>500</v>
      </c>
      <c r="G62" s="181">
        <f t="shared" si="0"/>
        <v>100000</v>
      </c>
      <c r="H62" s="67"/>
    </row>
    <row r="63" spans="1:8" s="73" customFormat="1" ht="12" x14ac:dyDescent="0.2">
      <c r="A63" s="64">
        <v>57</v>
      </c>
      <c r="B63" s="60"/>
      <c r="C63" s="60"/>
      <c r="D63" s="60" t="s">
        <v>272</v>
      </c>
      <c r="E63" s="64">
        <v>150</v>
      </c>
      <c r="F63" s="181">
        <v>500</v>
      </c>
      <c r="G63" s="181">
        <f t="shared" si="0"/>
        <v>75000</v>
      </c>
      <c r="H63" s="67"/>
    </row>
    <row r="64" spans="1:8" s="73" customFormat="1" ht="12" x14ac:dyDescent="0.2">
      <c r="A64" s="64">
        <v>58</v>
      </c>
      <c r="B64" s="60"/>
      <c r="C64" s="60"/>
      <c r="D64" s="60" t="s">
        <v>273</v>
      </c>
      <c r="E64" s="64">
        <v>150</v>
      </c>
      <c r="F64" s="181">
        <v>500</v>
      </c>
      <c r="G64" s="181">
        <f t="shared" si="0"/>
        <v>75000</v>
      </c>
      <c r="H64" s="67"/>
    </row>
    <row r="65" spans="1:8" s="73" customFormat="1" ht="12" x14ac:dyDescent="0.2">
      <c r="A65" s="64">
        <v>59</v>
      </c>
      <c r="B65" s="60"/>
      <c r="C65" s="60"/>
      <c r="D65" s="60" t="s">
        <v>274</v>
      </c>
      <c r="E65" s="64">
        <v>150</v>
      </c>
      <c r="F65" s="181">
        <v>500</v>
      </c>
      <c r="G65" s="181">
        <f t="shared" si="0"/>
        <v>75000</v>
      </c>
      <c r="H65" s="67"/>
    </row>
    <row r="66" spans="1:8" s="73" customFormat="1" ht="12" x14ac:dyDescent="0.2">
      <c r="A66" s="64">
        <v>60</v>
      </c>
      <c r="B66" s="60"/>
      <c r="C66" s="60"/>
      <c r="D66" s="60" t="s">
        <v>275</v>
      </c>
      <c r="E66" s="64">
        <v>150</v>
      </c>
      <c r="F66" s="181">
        <v>250</v>
      </c>
      <c r="G66" s="181">
        <f t="shared" si="0"/>
        <v>37500</v>
      </c>
      <c r="H66" s="67"/>
    </row>
    <row r="67" spans="1:8" s="73" customFormat="1" ht="12" x14ac:dyDescent="0.2">
      <c r="A67" s="64">
        <v>61</v>
      </c>
      <c r="B67" s="60"/>
      <c r="C67" s="60"/>
      <c r="D67" s="60" t="s">
        <v>276</v>
      </c>
      <c r="E67" s="64">
        <v>100</v>
      </c>
      <c r="F67" s="181">
        <v>250</v>
      </c>
      <c r="G67" s="181">
        <f t="shared" si="0"/>
        <v>25000</v>
      </c>
      <c r="H67" s="67"/>
    </row>
    <row r="68" spans="1:8" s="73" customFormat="1" ht="23.25" x14ac:dyDescent="0.2">
      <c r="A68" s="64">
        <v>62</v>
      </c>
      <c r="B68" s="60"/>
      <c r="C68" s="60"/>
      <c r="D68" s="91" t="s">
        <v>277</v>
      </c>
      <c r="E68" s="64">
        <v>100</v>
      </c>
      <c r="F68" s="181">
        <v>250</v>
      </c>
      <c r="G68" s="181">
        <f t="shared" si="0"/>
        <v>25000</v>
      </c>
      <c r="H68" s="67"/>
    </row>
    <row r="69" spans="1:8" s="73" customFormat="1" ht="23.25" x14ac:dyDescent="0.2">
      <c r="A69" s="64">
        <v>63</v>
      </c>
      <c r="B69" s="60"/>
      <c r="C69" s="60"/>
      <c r="D69" s="91" t="s">
        <v>278</v>
      </c>
      <c r="E69" s="64">
        <v>100</v>
      </c>
      <c r="F69" s="181">
        <v>250</v>
      </c>
      <c r="G69" s="181">
        <f t="shared" si="0"/>
        <v>25000</v>
      </c>
      <c r="H69" s="67"/>
    </row>
    <row r="70" spans="1:8" s="73" customFormat="1" ht="12" x14ac:dyDescent="0.2">
      <c r="A70" s="64">
        <v>64</v>
      </c>
      <c r="B70" s="60"/>
      <c r="C70" s="60"/>
      <c r="D70" s="60" t="s">
        <v>212</v>
      </c>
      <c r="E70" s="64">
        <v>10</v>
      </c>
      <c r="F70" s="181">
        <v>100</v>
      </c>
      <c r="G70" s="181">
        <f t="shared" si="0"/>
        <v>1000</v>
      </c>
      <c r="H70" s="67"/>
    </row>
    <row r="71" spans="1:8" s="73" customFormat="1" ht="12" x14ac:dyDescent="0.2">
      <c r="A71" s="64">
        <v>65</v>
      </c>
      <c r="B71" s="60"/>
      <c r="C71" s="60"/>
      <c r="D71" s="60" t="s">
        <v>208</v>
      </c>
      <c r="E71" s="64">
        <v>30</v>
      </c>
      <c r="F71" s="181">
        <v>150</v>
      </c>
      <c r="G71" s="181">
        <f t="shared" si="0"/>
        <v>4500</v>
      </c>
      <c r="H71" s="67"/>
    </row>
    <row r="72" spans="1:8" s="73" customFormat="1" ht="23.25" x14ac:dyDescent="0.2">
      <c r="A72" s="64">
        <v>66</v>
      </c>
      <c r="B72" s="60"/>
      <c r="C72" s="60"/>
      <c r="D72" s="91" t="s">
        <v>450</v>
      </c>
      <c r="E72" s="64">
        <v>80</v>
      </c>
      <c r="F72" s="181">
        <v>550</v>
      </c>
      <c r="G72" s="181">
        <f t="shared" ref="G72:G123" si="1">E72*F72</f>
        <v>44000</v>
      </c>
      <c r="H72" s="41" t="s">
        <v>548</v>
      </c>
    </row>
    <row r="73" spans="1:8" s="73" customFormat="1" ht="23.25" x14ac:dyDescent="0.2">
      <c r="A73" s="64">
        <v>67</v>
      </c>
      <c r="B73" s="60"/>
      <c r="C73" s="60"/>
      <c r="D73" s="91" t="s">
        <v>451</v>
      </c>
      <c r="E73" s="64">
        <v>80</v>
      </c>
      <c r="F73" s="181">
        <v>550</v>
      </c>
      <c r="G73" s="181">
        <f t="shared" si="1"/>
        <v>44000</v>
      </c>
      <c r="H73" s="67"/>
    </row>
    <row r="74" spans="1:8" s="73" customFormat="1" ht="12" x14ac:dyDescent="0.2">
      <c r="A74" s="64">
        <v>68</v>
      </c>
      <c r="B74" s="60"/>
      <c r="C74" s="60"/>
      <c r="D74" s="60" t="s">
        <v>233</v>
      </c>
      <c r="E74" s="64">
        <v>200</v>
      </c>
      <c r="F74" s="181">
        <v>250</v>
      </c>
      <c r="G74" s="181">
        <f t="shared" si="1"/>
        <v>50000</v>
      </c>
      <c r="H74" s="67"/>
    </row>
    <row r="75" spans="1:8" s="73" customFormat="1" ht="12" x14ac:dyDescent="0.2">
      <c r="A75" s="64">
        <v>69</v>
      </c>
      <c r="B75" s="60"/>
      <c r="C75" s="60"/>
      <c r="D75" s="60" t="s">
        <v>232</v>
      </c>
      <c r="E75" s="64">
        <v>40</v>
      </c>
      <c r="F75" s="181">
        <v>40</v>
      </c>
      <c r="G75" s="181">
        <f t="shared" si="1"/>
        <v>1600</v>
      </c>
      <c r="H75" s="67"/>
    </row>
    <row r="76" spans="1:8" s="73" customFormat="1" ht="12" x14ac:dyDescent="0.2">
      <c r="A76" s="64">
        <v>70</v>
      </c>
      <c r="B76" s="60"/>
      <c r="C76" s="60"/>
      <c r="D76" s="60" t="s">
        <v>135</v>
      </c>
      <c r="E76" s="64">
        <v>20</v>
      </c>
      <c r="F76" s="181">
        <v>150</v>
      </c>
      <c r="G76" s="181">
        <f t="shared" si="1"/>
        <v>3000</v>
      </c>
      <c r="H76" s="67"/>
    </row>
    <row r="77" spans="1:8" s="73" customFormat="1" ht="12" x14ac:dyDescent="0.2">
      <c r="A77" s="64">
        <v>71</v>
      </c>
      <c r="B77" s="60"/>
      <c r="C77" s="60"/>
      <c r="D77" s="60" t="s">
        <v>134</v>
      </c>
      <c r="E77" s="64">
        <v>20</v>
      </c>
      <c r="F77" s="181">
        <v>150</v>
      </c>
      <c r="G77" s="181">
        <f t="shared" si="1"/>
        <v>3000</v>
      </c>
      <c r="H77" s="67"/>
    </row>
    <row r="78" spans="1:8" s="73" customFormat="1" ht="12" x14ac:dyDescent="0.2">
      <c r="A78" s="64">
        <v>72</v>
      </c>
      <c r="B78" s="60"/>
      <c r="C78" s="60"/>
      <c r="D78" s="60" t="s">
        <v>133</v>
      </c>
      <c r="E78" s="64">
        <v>12</v>
      </c>
      <c r="F78" s="181">
        <v>80</v>
      </c>
      <c r="G78" s="181">
        <f t="shared" si="1"/>
        <v>960</v>
      </c>
      <c r="H78" s="67"/>
    </row>
    <row r="79" spans="1:8" s="73" customFormat="1" ht="12" x14ac:dyDescent="0.2">
      <c r="A79" s="64">
        <v>73</v>
      </c>
      <c r="B79" s="60"/>
      <c r="C79" s="60"/>
      <c r="D79" s="60" t="s">
        <v>132</v>
      </c>
      <c r="E79" s="64">
        <v>12</v>
      </c>
      <c r="F79" s="181">
        <v>80</v>
      </c>
      <c r="G79" s="181">
        <f t="shared" si="1"/>
        <v>960</v>
      </c>
      <c r="H79" s="67"/>
    </row>
    <row r="80" spans="1:8" s="73" customFormat="1" ht="12" x14ac:dyDescent="0.2">
      <c r="A80" s="64">
        <v>74</v>
      </c>
      <c r="B80" s="60"/>
      <c r="C80" s="60"/>
      <c r="D80" s="60" t="s">
        <v>131</v>
      </c>
      <c r="E80" s="64">
        <v>12</v>
      </c>
      <c r="F80" s="181">
        <v>80</v>
      </c>
      <c r="G80" s="181">
        <f t="shared" si="1"/>
        <v>960</v>
      </c>
      <c r="H80" s="67"/>
    </row>
    <row r="81" spans="1:8" s="73" customFormat="1" ht="23.25" x14ac:dyDescent="0.2">
      <c r="A81" s="64">
        <v>75</v>
      </c>
      <c r="B81" s="60"/>
      <c r="C81" s="60"/>
      <c r="D81" s="91" t="s">
        <v>130</v>
      </c>
      <c r="E81" s="64">
        <v>12</v>
      </c>
      <c r="F81" s="181">
        <v>120</v>
      </c>
      <c r="G81" s="181">
        <f t="shared" si="1"/>
        <v>1440</v>
      </c>
      <c r="H81" s="67"/>
    </row>
    <row r="82" spans="1:8" s="73" customFormat="1" ht="23.25" x14ac:dyDescent="0.2">
      <c r="A82" s="64">
        <v>76</v>
      </c>
      <c r="B82" s="60"/>
      <c r="C82" s="60"/>
      <c r="D82" s="91" t="s">
        <v>129</v>
      </c>
      <c r="E82" s="64">
        <v>12</v>
      </c>
      <c r="F82" s="181">
        <v>120</v>
      </c>
      <c r="G82" s="181">
        <f t="shared" si="1"/>
        <v>1440</v>
      </c>
      <c r="H82" s="67"/>
    </row>
    <row r="83" spans="1:8" s="73" customFormat="1" ht="23.25" x14ac:dyDescent="0.2">
      <c r="A83" s="64">
        <v>77</v>
      </c>
      <c r="B83" s="60"/>
      <c r="C83" s="60"/>
      <c r="D83" s="91" t="s">
        <v>128</v>
      </c>
      <c r="E83" s="64">
        <v>12</v>
      </c>
      <c r="F83" s="181">
        <v>120</v>
      </c>
      <c r="G83" s="181">
        <f t="shared" si="1"/>
        <v>1440</v>
      </c>
      <c r="H83" s="67"/>
    </row>
    <row r="84" spans="1:8" s="73" customFormat="1" ht="23.25" x14ac:dyDescent="0.2">
      <c r="A84" s="64">
        <v>78</v>
      </c>
      <c r="B84" s="60"/>
      <c r="C84" s="60"/>
      <c r="D84" s="91" t="s">
        <v>127</v>
      </c>
      <c r="E84" s="64">
        <v>12</v>
      </c>
      <c r="F84" s="181">
        <v>120</v>
      </c>
      <c r="G84" s="181">
        <f t="shared" si="1"/>
        <v>1440</v>
      </c>
      <c r="H84" s="67"/>
    </row>
    <row r="85" spans="1:8" s="73" customFormat="1" ht="12" x14ac:dyDescent="0.2">
      <c r="A85" s="64">
        <v>79</v>
      </c>
      <c r="B85" s="60"/>
      <c r="C85" s="60"/>
      <c r="D85" s="60" t="s">
        <v>279</v>
      </c>
      <c r="E85" s="64">
        <v>12</v>
      </c>
      <c r="F85" s="181">
        <v>50</v>
      </c>
      <c r="G85" s="181">
        <f t="shared" si="1"/>
        <v>600</v>
      </c>
      <c r="H85" s="67"/>
    </row>
    <row r="86" spans="1:8" s="73" customFormat="1" ht="23.25" x14ac:dyDescent="0.2">
      <c r="A86" s="64">
        <v>80</v>
      </c>
      <c r="B86" s="60"/>
      <c r="C86" s="60"/>
      <c r="D86" s="91" t="s">
        <v>139</v>
      </c>
      <c r="E86" s="64">
        <v>15</v>
      </c>
      <c r="F86" s="181">
        <v>70</v>
      </c>
      <c r="G86" s="181">
        <f t="shared" si="1"/>
        <v>1050</v>
      </c>
      <c r="H86" s="67"/>
    </row>
    <row r="87" spans="1:8" s="73" customFormat="1" ht="23.25" x14ac:dyDescent="0.2">
      <c r="A87" s="64">
        <v>81</v>
      </c>
      <c r="B87" s="60"/>
      <c r="C87" s="60"/>
      <c r="D87" s="91" t="s">
        <v>140</v>
      </c>
      <c r="E87" s="64">
        <v>15</v>
      </c>
      <c r="F87" s="181">
        <v>70</v>
      </c>
      <c r="G87" s="181">
        <f t="shared" si="1"/>
        <v>1050</v>
      </c>
      <c r="H87" s="67"/>
    </row>
    <row r="88" spans="1:8" s="73" customFormat="1" ht="12" x14ac:dyDescent="0.2">
      <c r="A88" s="64">
        <v>82</v>
      </c>
      <c r="B88" s="60"/>
      <c r="C88" s="60"/>
      <c r="D88" s="60" t="s">
        <v>143</v>
      </c>
      <c r="E88" s="64">
        <v>12</v>
      </c>
      <c r="F88" s="181">
        <v>70</v>
      </c>
      <c r="G88" s="181">
        <f t="shared" si="1"/>
        <v>840</v>
      </c>
      <c r="H88" s="67"/>
    </row>
    <row r="89" spans="1:8" s="73" customFormat="1" ht="23.25" x14ac:dyDescent="0.2">
      <c r="A89" s="64">
        <v>83</v>
      </c>
      <c r="B89" s="60"/>
      <c r="C89" s="60"/>
      <c r="D89" s="91" t="s">
        <v>141</v>
      </c>
      <c r="E89" s="64">
        <v>12</v>
      </c>
      <c r="F89" s="181">
        <v>70</v>
      </c>
      <c r="G89" s="181">
        <f t="shared" si="1"/>
        <v>840</v>
      </c>
      <c r="H89" s="67"/>
    </row>
    <row r="90" spans="1:8" s="73" customFormat="1" ht="12" x14ac:dyDescent="0.2">
      <c r="A90" s="64">
        <v>84</v>
      </c>
      <c r="B90" s="60"/>
      <c r="C90" s="60"/>
      <c r="D90" s="60" t="s">
        <v>142</v>
      </c>
      <c r="E90" s="64">
        <v>12</v>
      </c>
      <c r="F90" s="181">
        <v>70</v>
      </c>
      <c r="G90" s="181">
        <f t="shared" si="1"/>
        <v>840</v>
      </c>
      <c r="H90" s="67"/>
    </row>
    <row r="91" spans="1:8" s="73" customFormat="1" ht="12" x14ac:dyDescent="0.2">
      <c r="A91" s="71">
        <v>85</v>
      </c>
      <c r="B91" s="101"/>
      <c r="C91" s="102"/>
      <c r="D91" s="70" t="s">
        <v>437</v>
      </c>
      <c r="E91" s="71">
        <v>240</v>
      </c>
      <c r="F91" s="182">
        <v>450</v>
      </c>
      <c r="G91" s="181">
        <f t="shared" si="1"/>
        <v>108000</v>
      </c>
      <c r="H91" s="67"/>
    </row>
    <row r="92" spans="1:8" s="73" customFormat="1" ht="12" x14ac:dyDescent="0.2">
      <c r="A92" s="71">
        <v>86</v>
      </c>
      <c r="B92" s="101"/>
      <c r="C92" s="102"/>
      <c r="D92" s="70" t="s">
        <v>438</v>
      </c>
      <c r="E92" s="71">
        <v>240</v>
      </c>
      <c r="F92" s="182">
        <v>400</v>
      </c>
      <c r="G92" s="181">
        <f t="shared" si="1"/>
        <v>96000</v>
      </c>
      <c r="H92" s="67"/>
    </row>
    <row r="93" spans="1:8" s="73" customFormat="1" ht="12" x14ac:dyDescent="0.2">
      <c r="A93" s="71">
        <v>87</v>
      </c>
      <c r="B93" s="101"/>
      <c r="C93" s="102"/>
      <c r="D93" s="70" t="s">
        <v>436</v>
      </c>
      <c r="E93" s="71">
        <v>240</v>
      </c>
      <c r="F93" s="182">
        <v>400</v>
      </c>
      <c r="G93" s="181">
        <f t="shared" si="1"/>
        <v>96000</v>
      </c>
      <c r="H93" s="67"/>
    </row>
    <row r="94" spans="1:8" s="73" customFormat="1" ht="12" x14ac:dyDescent="0.2">
      <c r="A94" s="71">
        <v>88</v>
      </c>
      <c r="B94" s="101"/>
      <c r="C94" s="102"/>
      <c r="D94" s="70" t="s">
        <v>439</v>
      </c>
      <c r="E94" s="71">
        <v>240</v>
      </c>
      <c r="F94" s="182">
        <v>400</v>
      </c>
      <c r="G94" s="181">
        <f t="shared" si="1"/>
        <v>96000</v>
      </c>
      <c r="H94" s="67"/>
    </row>
    <row r="95" spans="1:8" s="73" customFormat="1" ht="12" x14ac:dyDescent="0.2">
      <c r="A95" s="71">
        <v>89</v>
      </c>
      <c r="B95" s="101"/>
      <c r="C95" s="102"/>
      <c r="D95" s="70" t="s">
        <v>435</v>
      </c>
      <c r="E95" s="71">
        <v>120</v>
      </c>
      <c r="F95" s="182">
        <v>500</v>
      </c>
      <c r="G95" s="181">
        <f t="shared" si="1"/>
        <v>60000</v>
      </c>
      <c r="H95" s="67"/>
    </row>
    <row r="96" spans="1:8" s="73" customFormat="1" ht="12" x14ac:dyDescent="0.2">
      <c r="A96" s="71">
        <v>90</v>
      </c>
      <c r="B96" s="101"/>
      <c r="C96" s="102"/>
      <c r="D96" s="70" t="s">
        <v>440</v>
      </c>
      <c r="E96" s="71">
        <v>120</v>
      </c>
      <c r="F96" s="182">
        <v>500</v>
      </c>
      <c r="G96" s="181">
        <f t="shared" si="1"/>
        <v>60000</v>
      </c>
      <c r="H96" s="67"/>
    </row>
    <row r="97" spans="1:8" s="73" customFormat="1" ht="12" x14ac:dyDescent="0.2">
      <c r="A97" s="71">
        <v>91</v>
      </c>
      <c r="B97" s="101"/>
      <c r="C97" s="102"/>
      <c r="D97" s="70" t="s">
        <v>441</v>
      </c>
      <c r="E97" s="71">
        <v>120</v>
      </c>
      <c r="F97" s="182">
        <v>500</v>
      </c>
      <c r="G97" s="181">
        <f t="shared" si="1"/>
        <v>60000</v>
      </c>
      <c r="H97" s="67"/>
    </row>
    <row r="98" spans="1:8" s="73" customFormat="1" ht="12" x14ac:dyDescent="0.2">
      <c r="A98" s="71">
        <v>92</v>
      </c>
      <c r="B98" s="101"/>
      <c r="C98" s="102"/>
      <c r="D98" s="70" t="s">
        <v>442</v>
      </c>
      <c r="E98" s="71">
        <v>120</v>
      </c>
      <c r="F98" s="182">
        <v>500</v>
      </c>
      <c r="G98" s="181">
        <f t="shared" si="1"/>
        <v>60000</v>
      </c>
      <c r="H98" s="67"/>
    </row>
    <row r="99" spans="1:8" s="73" customFormat="1" ht="12" x14ac:dyDescent="0.2">
      <c r="A99" s="71">
        <v>93</v>
      </c>
      <c r="B99" s="101"/>
      <c r="C99" s="102"/>
      <c r="D99" s="70" t="s">
        <v>443</v>
      </c>
      <c r="E99" s="71">
        <v>60</v>
      </c>
      <c r="F99" s="182">
        <v>500</v>
      </c>
      <c r="G99" s="181">
        <f t="shared" si="1"/>
        <v>30000</v>
      </c>
      <c r="H99" s="67"/>
    </row>
    <row r="100" spans="1:8" s="73" customFormat="1" ht="12" x14ac:dyDescent="0.2">
      <c r="A100" s="71">
        <v>94</v>
      </c>
      <c r="B100" s="101"/>
      <c r="C100" s="102"/>
      <c r="D100" s="70" t="s">
        <v>444</v>
      </c>
      <c r="E100" s="71">
        <v>60</v>
      </c>
      <c r="F100" s="182">
        <v>500</v>
      </c>
      <c r="G100" s="181">
        <f t="shared" si="1"/>
        <v>30000</v>
      </c>
      <c r="H100" s="67"/>
    </row>
    <row r="101" spans="1:8" s="73" customFormat="1" ht="12" x14ac:dyDescent="0.2">
      <c r="A101" s="71">
        <v>95</v>
      </c>
      <c r="B101" s="101"/>
      <c r="C101" s="102"/>
      <c r="D101" s="70" t="s">
        <v>445</v>
      </c>
      <c r="E101" s="71">
        <v>60</v>
      </c>
      <c r="F101" s="182">
        <v>500</v>
      </c>
      <c r="G101" s="181">
        <f t="shared" si="1"/>
        <v>30000</v>
      </c>
      <c r="H101" s="67"/>
    </row>
    <row r="102" spans="1:8" s="73" customFormat="1" ht="12" x14ac:dyDescent="0.2">
      <c r="A102" s="71">
        <v>96</v>
      </c>
      <c r="B102" s="101"/>
      <c r="C102" s="102"/>
      <c r="D102" s="70" t="s">
        <v>446</v>
      </c>
      <c r="E102" s="71">
        <v>60</v>
      </c>
      <c r="F102" s="182">
        <v>500</v>
      </c>
      <c r="G102" s="181">
        <f t="shared" si="1"/>
        <v>30000</v>
      </c>
      <c r="H102" s="67"/>
    </row>
    <row r="103" spans="1:8" s="73" customFormat="1" ht="12" x14ac:dyDescent="0.2">
      <c r="A103" s="71">
        <v>97</v>
      </c>
      <c r="B103" s="101"/>
      <c r="C103" s="102"/>
      <c r="D103" s="70" t="s">
        <v>447</v>
      </c>
      <c r="E103" s="71">
        <v>60</v>
      </c>
      <c r="F103" s="182">
        <v>430</v>
      </c>
      <c r="G103" s="181">
        <f t="shared" si="1"/>
        <v>25800</v>
      </c>
      <c r="H103" s="67"/>
    </row>
    <row r="104" spans="1:8" s="73" customFormat="1" ht="12" x14ac:dyDescent="0.2">
      <c r="A104" s="71">
        <v>98</v>
      </c>
      <c r="B104" s="101"/>
      <c r="C104" s="102"/>
      <c r="D104" s="70" t="s">
        <v>452</v>
      </c>
      <c r="E104" s="71">
        <v>60</v>
      </c>
      <c r="F104" s="182">
        <v>430</v>
      </c>
      <c r="G104" s="181">
        <f t="shared" si="1"/>
        <v>25800</v>
      </c>
      <c r="H104" s="67"/>
    </row>
    <row r="105" spans="1:8" s="73" customFormat="1" ht="12" x14ac:dyDescent="0.2">
      <c r="A105" s="71">
        <v>99</v>
      </c>
      <c r="B105" s="101"/>
      <c r="C105" s="102"/>
      <c r="D105" s="70" t="s">
        <v>453</v>
      </c>
      <c r="E105" s="71">
        <v>60</v>
      </c>
      <c r="F105" s="182">
        <v>430</v>
      </c>
      <c r="G105" s="181">
        <f t="shared" si="1"/>
        <v>25800</v>
      </c>
      <c r="H105" s="67"/>
    </row>
    <row r="106" spans="1:8" s="73" customFormat="1" ht="12" x14ac:dyDescent="0.2">
      <c r="A106" s="71">
        <v>100</v>
      </c>
      <c r="B106" s="101"/>
      <c r="C106" s="102"/>
      <c r="D106" s="70" t="s">
        <v>454</v>
      </c>
      <c r="E106" s="71">
        <v>60</v>
      </c>
      <c r="F106" s="182">
        <v>430</v>
      </c>
      <c r="G106" s="181">
        <f t="shared" si="1"/>
        <v>25800</v>
      </c>
      <c r="H106" s="67"/>
    </row>
    <row r="107" spans="1:8" s="73" customFormat="1" ht="12" x14ac:dyDescent="0.2">
      <c r="A107" s="71">
        <v>101</v>
      </c>
      <c r="B107" s="101"/>
      <c r="C107" s="102"/>
      <c r="D107" s="70" t="s">
        <v>448</v>
      </c>
      <c r="E107" s="71">
        <v>36</v>
      </c>
      <c r="F107" s="182">
        <v>500</v>
      </c>
      <c r="G107" s="181">
        <f t="shared" si="1"/>
        <v>18000</v>
      </c>
      <c r="H107" s="67"/>
    </row>
    <row r="108" spans="1:8" s="73" customFormat="1" ht="12" x14ac:dyDescent="0.2">
      <c r="A108" s="71">
        <v>102</v>
      </c>
      <c r="B108" s="101"/>
      <c r="C108" s="102"/>
      <c r="D108" s="70" t="s">
        <v>449</v>
      </c>
      <c r="E108" s="71">
        <v>12</v>
      </c>
      <c r="F108" s="182">
        <v>450</v>
      </c>
      <c r="G108" s="181">
        <f t="shared" si="1"/>
        <v>5400</v>
      </c>
      <c r="H108" s="67"/>
    </row>
    <row r="109" spans="1:8" s="73" customFormat="1" ht="12" x14ac:dyDescent="0.2">
      <c r="A109" s="71">
        <v>103</v>
      </c>
      <c r="B109" s="101"/>
      <c r="C109" s="102"/>
      <c r="D109" s="70" t="s">
        <v>498</v>
      </c>
      <c r="E109" s="64">
        <v>50</v>
      </c>
      <c r="F109" s="184">
        <v>250</v>
      </c>
      <c r="G109" s="181">
        <f t="shared" si="1"/>
        <v>12500</v>
      </c>
      <c r="H109" s="203" t="s">
        <v>585</v>
      </c>
    </row>
    <row r="110" spans="1:8" s="73" customFormat="1" ht="12" x14ac:dyDescent="0.2">
      <c r="A110" s="71">
        <v>104</v>
      </c>
      <c r="B110" s="101"/>
      <c r="C110" s="102"/>
      <c r="D110" s="70" t="s">
        <v>499</v>
      </c>
      <c r="E110" s="64">
        <v>50</v>
      </c>
      <c r="F110" s="184">
        <v>320</v>
      </c>
      <c r="G110" s="181">
        <f t="shared" si="1"/>
        <v>16000</v>
      </c>
      <c r="H110" s="67"/>
    </row>
    <row r="111" spans="1:8" s="73" customFormat="1" ht="12" x14ac:dyDescent="0.2">
      <c r="A111" s="71">
        <v>105</v>
      </c>
      <c r="B111" s="101"/>
      <c r="C111" s="102"/>
      <c r="D111" s="70" t="s">
        <v>500</v>
      </c>
      <c r="E111" s="64">
        <v>10</v>
      </c>
      <c r="F111" s="184">
        <v>200</v>
      </c>
      <c r="G111" s="181">
        <f t="shared" si="1"/>
        <v>2000</v>
      </c>
      <c r="H111" s="67"/>
    </row>
    <row r="112" spans="1:8" s="73" customFormat="1" ht="12" x14ac:dyDescent="0.2">
      <c r="A112" s="71">
        <v>106</v>
      </c>
      <c r="B112" s="101"/>
      <c r="C112" s="102"/>
      <c r="D112" s="70" t="s">
        <v>501</v>
      </c>
      <c r="E112" s="64">
        <v>20</v>
      </c>
      <c r="F112" s="184">
        <v>200</v>
      </c>
      <c r="G112" s="181">
        <f t="shared" si="1"/>
        <v>4000</v>
      </c>
      <c r="H112" s="67"/>
    </row>
    <row r="113" spans="1:8" s="73" customFormat="1" ht="12" x14ac:dyDescent="0.2">
      <c r="A113" s="71">
        <v>107</v>
      </c>
      <c r="B113" s="101"/>
      <c r="C113" s="102"/>
      <c r="D113" s="70" t="s">
        <v>502</v>
      </c>
      <c r="E113" s="64">
        <v>4</v>
      </c>
      <c r="F113" s="184">
        <v>500</v>
      </c>
      <c r="G113" s="181">
        <f t="shared" si="1"/>
        <v>2000</v>
      </c>
      <c r="H113" s="67"/>
    </row>
    <row r="114" spans="1:8" s="73" customFormat="1" ht="12" x14ac:dyDescent="0.2">
      <c r="A114" s="71">
        <v>108</v>
      </c>
      <c r="B114" s="101"/>
      <c r="C114" s="102"/>
      <c r="D114" s="70" t="s">
        <v>503</v>
      </c>
      <c r="E114" s="64">
        <v>40</v>
      </c>
      <c r="F114" s="184">
        <v>20</v>
      </c>
      <c r="G114" s="181">
        <f t="shared" si="1"/>
        <v>800</v>
      </c>
      <c r="H114" s="67"/>
    </row>
    <row r="115" spans="1:8" s="73" customFormat="1" ht="12" x14ac:dyDescent="0.2">
      <c r="A115" s="71">
        <v>109</v>
      </c>
      <c r="B115" s="101"/>
      <c r="C115" s="102"/>
      <c r="D115" s="70" t="s">
        <v>539</v>
      </c>
      <c r="E115" s="64">
        <v>40</v>
      </c>
      <c r="F115" s="184">
        <v>300</v>
      </c>
      <c r="G115" s="181">
        <f t="shared" si="1"/>
        <v>12000</v>
      </c>
      <c r="H115" s="67"/>
    </row>
    <row r="116" spans="1:8" s="73" customFormat="1" ht="12" x14ac:dyDescent="0.2">
      <c r="A116" s="71">
        <v>110</v>
      </c>
      <c r="B116" s="101"/>
      <c r="C116" s="102"/>
      <c r="D116" s="70" t="s">
        <v>504</v>
      </c>
      <c r="E116" s="64">
        <v>4</v>
      </c>
      <c r="F116" s="184">
        <v>600</v>
      </c>
      <c r="G116" s="181">
        <f t="shared" si="1"/>
        <v>2400</v>
      </c>
      <c r="H116" s="67"/>
    </row>
    <row r="117" spans="1:8" s="73" customFormat="1" ht="12" x14ac:dyDescent="0.2">
      <c r="A117" s="71">
        <v>111</v>
      </c>
      <c r="B117" s="101"/>
      <c r="C117" s="102"/>
      <c r="D117" s="70" t="s">
        <v>505</v>
      </c>
      <c r="E117" s="64">
        <v>50</v>
      </c>
      <c r="F117" s="184">
        <v>178</v>
      </c>
      <c r="G117" s="181">
        <f t="shared" si="1"/>
        <v>8900</v>
      </c>
      <c r="H117" s="67"/>
    </row>
    <row r="118" spans="1:8" s="73" customFormat="1" ht="12" x14ac:dyDescent="0.2">
      <c r="A118" s="71">
        <v>112</v>
      </c>
      <c r="B118" s="101"/>
      <c r="C118" s="102"/>
      <c r="D118" s="70" t="s">
        <v>506</v>
      </c>
      <c r="E118" s="64">
        <v>5</v>
      </c>
      <c r="F118" s="184">
        <v>720</v>
      </c>
      <c r="G118" s="181">
        <f t="shared" si="1"/>
        <v>3600</v>
      </c>
      <c r="H118" s="67"/>
    </row>
    <row r="119" spans="1:8" s="73" customFormat="1" ht="12" x14ac:dyDescent="0.2">
      <c r="A119" s="71">
        <v>113</v>
      </c>
      <c r="B119" s="101"/>
      <c r="C119" s="102"/>
      <c r="D119" s="70" t="s">
        <v>507</v>
      </c>
      <c r="E119" s="64">
        <v>5</v>
      </c>
      <c r="F119" s="184">
        <v>720</v>
      </c>
      <c r="G119" s="181">
        <f t="shared" si="1"/>
        <v>3600</v>
      </c>
      <c r="H119" s="67"/>
    </row>
    <row r="120" spans="1:8" s="73" customFormat="1" ht="12" x14ac:dyDescent="0.2">
      <c r="A120" s="71">
        <v>114</v>
      </c>
      <c r="B120" s="101"/>
      <c r="C120" s="102"/>
      <c r="D120" s="70" t="s">
        <v>508</v>
      </c>
      <c r="E120" s="64">
        <v>5</v>
      </c>
      <c r="F120" s="184">
        <v>720</v>
      </c>
      <c r="G120" s="181">
        <f t="shared" si="1"/>
        <v>3600</v>
      </c>
      <c r="H120" s="67"/>
    </row>
    <row r="121" spans="1:8" s="73" customFormat="1" ht="12" x14ac:dyDescent="0.2">
      <c r="A121" s="71">
        <v>115</v>
      </c>
      <c r="B121" s="101"/>
      <c r="C121" s="102"/>
      <c r="D121" s="70" t="s">
        <v>509</v>
      </c>
      <c r="E121" s="64">
        <v>5</v>
      </c>
      <c r="F121" s="184">
        <v>720</v>
      </c>
      <c r="G121" s="181">
        <f t="shared" si="1"/>
        <v>3600</v>
      </c>
      <c r="H121" s="67"/>
    </row>
    <row r="122" spans="1:8" s="73" customFormat="1" ht="12" x14ac:dyDescent="0.2">
      <c r="A122" s="71">
        <v>116</v>
      </c>
      <c r="B122" s="101"/>
      <c r="C122" s="102"/>
      <c r="D122" s="70" t="s">
        <v>511</v>
      </c>
      <c r="E122" s="64">
        <v>5</v>
      </c>
      <c r="F122" s="184">
        <v>720</v>
      </c>
      <c r="G122" s="181">
        <f t="shared" si="1"/>
        <v>3600</v>
      </c>
      <c r="H122" s="67"/>
    </row>
    <row r="123" spans="1:8" s="73" customFormat="1" ht="12" x14ac:dyDescent="0.2">
      <c r="A123" s="71">
        <v>117</v>
      </c>
      <c r="B123" s="101"/>
      <c r="C123" s="102"/>
      <c r="D123" s="70" t="s">
        <v>512</v>
      </c>
      <c r="E123" s="64">
        <v>10</v>
      </c>
      <c r="F123" s="184">
        <v>250</v>
      </c>
      <c r="G123" s="181">
        <f t="shared" si="1"/>
        <v>2500</v>
      </c>
      <c r="H123" s="67"/>
    </row>
    <row r="124" spans="1:8" s="73" customFormat="1" ht="12" x14ac:dyDescent="0.2">
      <c r="A124" s="71">
        <v>118</v>
      </c>
      <c r="B124" s="101"/>
      <c r="C124" s="102"/>
      <c r="D124" s="60" t="s">
        <v>513</v>
      </c>
      <c r="E124" s="64">
        <v>10</v>
      </c>
      <c r="F124" s="184">
        <v>250</v>
      </c>
      <c r="G124" s="181">
        <f>E124*F124</f>
        <v>2500</v>
      </c>
      <c r="H124" s="67"/>
    </row>
    <row r="125" spans="1:8" s="73" customFormat="1" ht="12" x14ac:dyDescent="0.2">
      <c r="A125" s="71">
        <v>119</v>
      </c>
      <c r="B125" s="101"/>
      <c r="C125" s="102"/>
      <c r="D125" s="70" t="s">
        <v>514</v>
      </c>
      <c r="E125" s="64">
        <v>10</v>
      </c>
      <c r="F125" s="184">
        <v>250</v>
      </c>
      <c r="G125" s="182">
        <f t="shared" ref="G125:G211" si="2">E125*F125</f>
        <v>2500</v>
      </c>
      <c r="H125" s="67"/>
    </row>
    <row r="126" spans="1:8" s="73" customFormat="1" ht="12" x14ac:dyDescent="0.2">
      <c r="A126" s="71">
        <v>120</v>
      </c>
      <c r="B126" s="101"/>
      <c r="C126" s="102"/>
      <c r="D126" s="70" t="s">
        <v>515</v>
      </c>
      <c r="E126" s="64">
        <v>10</v>
      </c>
      <c r="F126" s="184">
        <v>250</v>
      </c>
      <c r="G126" s="182">
        <f t="shared" si="2"/>
        <v>2500</v>
      </c>
      <c r="H126" s="67"/>
    </row>
    <row r="127" spans="1:8" s="73" customFormat="1" ht="12" x14ac:dyDescent="0.2">
      <c r="A127" s="71">
        <v>121</v>
      </c>
      <c r="B127" s="101"/>
      <c r="C127" s="102"/>
      <c r="D127" s="70" t="s">
        <v>516</v>
      </c>
      <c r="E127" s="64">
        <v>10</v>
      </c>
      <c r="F127" s="184">
        <v>250</v>
      </c>
      <c r="G127" s="182">
        <f t="shared" si="2"/>
        <v>2500</v>
      </c>
      <c r="H127" s="67"/>
    </row>
    <row r="128" spans="1:8" s="73" customFormat="1" ht="12" x14ac:dyDescent="0.2">
      <c r="A128" s="71">
        <v>122</v>
      </c>
      <c r="B128" s="101"/>
      <c r="C128" s="102"/>
      <c r="D128" s="70" t="s">
        <v>518</v>
      </c>
      <c r="E128" s="64">
        <v>10</v>
      </c>
      <c r="F128" s="184">
        <v>250</v>
      </c>
      <c r="G128" s="182">
        <f t="shared" si="2"/>
        <v>2500</v>
      </c>
      <c r="H128" s="67"/>
    </row>
    <row r="129" spans="1:8" s="73" customFormat="1" ht="12" x14ac:dyDescent="0.2">
      <c r="A129" s="71">
        <v>123</v>
      </c>
      <c r="B129" s="101"/>
      <c r="C129" s="102"/>
      <c r="D129" s="70" t="s">
        <v>517</v>
      </c>
      <c r="E129" s="64">
        <v>10</v>
      </c>
      <c r="F129" s="184">
        <v>250</v>
      </c>
      <c r="G129" s="182">
        <f t="shared" si="2"/>
        <v>2500</v>
      </c>
      <c r="H129" s="67"/>
    </row>
    <row r="130" spans="1:8" s="73" customFormat="1" ht="12" x14ac:dyDescent="0.2">
      <c r="A130" s="71">
        <v>124</v>
      </c>
      <c r="B130" s="101"/>
      <c r="C130" s="102"/>
      <c r="D130" s="70" t="s">
        <v>519</v>
      </c>
      <c r="E130" s="64">
        <v>10</v>
      </c>
      <c r="F130" s="184">
        <v>250</v>
      </c>
      <c r="G130" s="182">
        <f t="shared" si="2"/>
        <v>2500</v>
      </c>
      <c r="H130" s="67"/>
    </row>
    <row r="131" spans="1:8" s="73" customFormat="1" ht="12" x14ac:dyDescent="0.2">
      <c r="A131" s="71">
        <v>125</v>
      </c>
      <c r="B131" s="101"/>
      <c r="C131" s="102"/>
      <c r="D131" s="70" t="s">
        <v>520</v>
      </c>
      <c r="E131" s="64">
        <v>10</v>
      </c>
      <c r="F131" s="184">
        <v>250</v>
      </c>
      <c r="G131" s="182">
        <f t="shared" si="2"/>
        <v>2500</v>
      </c>
      <c r="H131" s="67"/>
    </row>
    <row r="132" spans="1:8" s="73" customFormat="1" ht="12" x14ac:dyDescent="0.2">
      <c r="A132" s="71">
        <v>126</v>
      </c>
      <c r="B132" s="101"/>
      <c r="C132" s="102"/>
      <c r="D132" s="70" t="s">
        <v>521</v>
      </c>
      <c r="E132" s="64">
        <v>10</v>
      </c>
      <c r="F132" s="184">
        <v>250</v>
      </c>
      <c r="G132" s="182">
        <f t="shared" si="2"/>
        <v>2500</v>
      </c>
      <c r="H132" s="67"/>
    </row>
    <row r="133" spans="1:8" s="73" customFormat="1" ht="23.25" x14ac:dyDescent="0.2">
      <c r="A133" s="71">
        <v>127</v>
      </c>
      <c r="B133" s="101"/>
      <c r="C133" s="102"/>
      <c r="D133" s="145" t="s">
        <v>510</v>
      </c>
      <c r="E133" s="64">
        <v>24</v>
      </c>
      <c r="F133" s="184">
        <v>150</v>
      </c>
      <c r="G133" s="182">
        <f t="shared" si="2"/>
        <v>3600</v>
      </c>
      <c r="H133" s="67"/>
    </row>
    <row r="134" spans="1:8" s="73" customFormat="1" ht="12" x14ac:dyDescent="0.2">
      <c r="A134" s="71">
        <v>128</v>
      </c>
      <c r="B134" s="101"/>
      <c r="C134" s="102"/>
      <c r="D134" s="70" t="s">
        <v>522</v>
      </c>
      <c r="E134" s="64">
        <v>40</v>
      </c>
      <c r="F134" s="184">
        <v>150</v>
      </c>
      <c r="G134" s="182">
        <f t="shared" si="2"/>
        <v>6000</v>
      </c>
      <c r="H134" s="67"/>
    </row>
    <row r="135" spans="1:8" s="73" customFormat="1" ht="12" x14ac:dyDescent="0.2">
      <c r="A135" s="71">
        <v>129</v>
      </c>
      <c r="B135" s="101"/>
      <c r="C135" s="102"/>
      <c r="D135" s="70" t="s">
        <v>523</v>
      </c>
      <c r="E135" s="64">
        <v>50</v>
      </c>
      <c r="F135" s="184">
        <v>200</v>
      </c>
      <c r="G135" s="182">
        <f t="shared" si="2"/>
        <v>10000</v>
      </c>
      <c r="H135" s="67"/>
    </row>
    <row r="136" spans="1:8" x14ac:dyDescent="0.25">
      <c r="A136" s="70"/>
      <c r="B136" s="222" t="s">
        <v>466</v>
      </c>
      <c r="C136" s="223"/>
      <c r="D136" s="70"/>
      <c r="E136" s="71"/>
      <c r="F136" s="185">
        <f>SUM(F7:F135)</f>
        <v>34618</v>
      </c>
      <c r="G136" s="182"/>
      <c r="H136" s="55"/>
    </row>
    <row r="137" spans="1:8" ht="15.75" x14ac:dyDescent="0.25">
      <c r="A137" s="67"/>
      <c r="B137" s="225" t="s">
        <v>282</v>
      </c>
      <c r="C137" s="226"/>
      <c r="D137" s="67"/>
      <c r="E137" s="69"/>
      <c r="F137" s="156"/>
      <c r="G137" s="195">
        <f>SUM(G7:G136)</f>
        <v>3644610</v>
      </c>
      <c r="H137" s="55"/>
    </row>
    <row r="138" spans="1:8" ht="15.75" x14ac:dyDescent="0.25">
      <c r="A138" s="196"/>
      <c r="B138" s="197"/>
      <c r="C138" s="197"/>
      <c r="D138" s="196"/>
      <c r="E138" s="198"/>
      <c r="F138" s="199"/>
      <c r="G138" s="200"/>
      <c r="H138" s="154"/>
    </row>
    <row r="139" spans="1:8" ht="15.75" x14ac:dyDescent="0.25">
      <c r="A139" s="196"/>
      <c r="B139" s="197"/>
      <c r="C139" s="197"/>
      <c r="D139" s="196"/>
      <c r="E139" s="198"/>
      <c r="F139" s="199"/>
      <c r="G139" s="200"/>
      <c r="H139" s="154"/>
    </row>
    <row r="140" spans="1:8" ht="15.75" x14ac:dyDescent="0.25">
      <c r="A140" s="196"/>
      <c r="B140" s="197"/>
      <c r="C140" s="197"/>
      <c r="D140" s="196"/>
      <c r="E140" s="198"/>
      <c r="F140" s="199"/>
      <c r="G140" s="200"/>
      <c r="H140" s="154"/>
    </row>
    <row r="141" spans="1:8" ht="15.75" x14ac:dyDescent="0.25">
      <c r="A141" s="196"/>
      <c r="B141" s="197"/>
      <c r="C141" s="197"/>
      <c r="D141" s="196"/>
      <c r="E141" s="198"/>
      <c r="F141" s="199"/>
      <c r="G141" s="200"/>
      <c r="H141" s="154"/>
    </row>
    <row r="142" spans="1:8" ht="15.75" x14ac:dyDescent="0.25">
      <c r="A142" s="196"/>
      <c r="B142" s="197"/>
      <c r="C142" s="197"/>
      <c r="D142" s="196"/>
      <c r="E142" s="198"/>
      <c r="F142" s="199"/>
      <c r="G142" s="200"/>
      <c r="H142" s="154"/>
    </row>
    <row r="143" spans="1:8" ht="15.75" x14ac:dyDescent="0.25">
      <c r="A143" s="196"/>
      <c r="B143" s="197"/>
      <c r="C143" s="197"/>
      <c r="D143" s="196"/>
      <c r="E143" s="198"/>
      <c r="F143" s="199"/>
      <c r="G143" s="200"/>
      <c r="H143" s="154"/>
    </row>
    <row r="144" spans="1:8" ht="15.75" x14ac:dyDescent="0.25">
      <c r="A144" s="196"/>
      <c r="B144" s="197"/>
      <c r="C144" s="197"/>
      <c r="D144" s="196"/>
      <c r="E144" s="198"/>
      <c r="F144" s="199"/>
      <c r="G144" s="200"/>
      <c r="H144" s="154"/>
    </row>
    <row r="145" spans="1:8" ht="15.75" x14ac:dyDescent="0.25">
      <c r="A145" s="196"/>
      <c r="B145" s="197"/>
      <c r="C145" s="197"/>
      <c r="D145" s="196"/>
      <c r="E145" s="198"/>
      <c r="F145" s="199"/>
      <c r="G145" s="200"/>
      <c r="H145" s="154"/>
    </row>
    <row r="146" spans="1:8" ht="15.75" x14ac:dyDescent="0.25">
      <c r="A146" s="196"/>
      <c r="B146" s="197"/>
      <c r="C146" s="197"/>
      <c r="D146" s="196"/>
      <c r="E146" s="198"/>
      <c r="F146" s="199"/>
      <c r="G146" s="200"/>
      <c r="H146" s="154"/>
    </row>
    <row r="147" spans="1:8" ht="15.75" x14ac:dyDescent="0.25">
      <c r="A147" s="196"/>
      <c r="B147" s="197"/>
      <c r="C147" s="197"/>
      <c r="D147" s="196"/>
      <c r="E147" s="198"/>
      <c r="F147" s="199"/>
      <c r="G147" s="200"/>
      <c r="H147" s="154"/>
    </row>
    <row r="148" spans="1:8" ht="15.75" x14ac:dyDescent="0.25">
      <c r="A148" s="196"/>
      <c r="B148" s="197"/>
      <c r="C148" s="197"/>
      <c r="D148" s="196"/>
      <c r="E148" s="198"/>
      <c r="F148" s="199"/>
      <c r="G148" s="200"/>
      <c r="H148" s="154"/>
    </row>
    <row r="149" spans="1:8" ht="15.75" x14ac:dyDescent="0.25">
      <c r="A149" s="196"/>
      <c r="B149" s="197"/>
      <c r="C149" s="197"/>
      <c r="D149" s="196"/>
      <c r="E149" s="198"/>
      <c r="F149" s="199"/>
      <c r="G149" s="200"/>
      <c r="H149" s="154"/>
    </row>
    <row r="150" spans="1:8" ht="15.75" x14ac:dyDescent="0.25">
      <c r="A150" s="196"/>
      <c r="B150" s="197"/>
      <c r="C150" s="197"/>
      <c r="D150" s="196"/>
      <c r="E150" s="198"/>
      <c r="F150" s="199"/>
      <c r="G150" s="200"/>
      <c r="H150" s="154"/>
    </row>
    <row r="151" spans="1:8" ht="15.75" x14ac:dyDescent="0.25">
      <c r="A151" s="196"/>
      <c r="B151" s="197"/>
      <c r="C151" s="197"/>
      <c r="D151" s="196"/>
      <c r="E151" s="198"/>
      <c r="F151" s="199"/>
      <c r="G151" s="200"/>
      <c r="H151" s="154"/>
    </row>
    <row r="152" spans="1:8" ht="15.75" x14ac:dyDescent="0.25">
      <c r="A152" s="196"/>
      <c r="B152" s="197"/>
      <c r="C152" s="197"/>
      <c r="D152" s="196"/>
      <c r="E152" s="198"/>
      <c r="F152" s="199"/>
      <c r="G152" s="200"/>
      <c r="H152" s="154"/>
    </row>
    <row r="153" spans="1:8" ht="15.75" x14ac:dyDescent="0.25">
      <c r="A153" s="196"/>
      <c r="B153" s="197"/>
      <c r="C153" s="197"/>
      <c r="D153" s="196"/>
      <c r="E153" s="198"/>
      <c r="F153" s="199"/>
      <c r="G153" s="200"/>
      <c r="H153" s="154"/>
    </row>
    <row r="154" spans="1:8" ht="15.75" x14ac:dyDescent="0.25">
      <c r="A154" s="196"/>
      <c r="B154" s="197"/>
      <c r="C154" s="197"/>
      <c r="D154" s="196"/>
      <c r="E154" s="198"/>
      <c r="F154" s="199"/>
      <c r="G154" s="200"/>
      <c r="H154" s="154"/>
    </row>
    <row r="155" spans="1:8" ht="15.75" x14ac:dyDescent="0.25">
      <c r="A155" s="196"/>
      <c r="B155" s="197"/>
      <c r="C155" s="197"/>
      <c r="D155" s="196"/>
      <c r="E155" s="198"/>
      <c r="F155" s="199"/>
      <c r="G155" s="200"/>
      <c r="H155" s="154"/>
    </row>
    <row r="156" spans="1:8" ht="15.75" x14ac:dyDescent="0.25">
      <c r="A156" s="196"/>
      <c r="B156" s="197"/>
      <c r="C156" s="197"/>
      <c r="D156" s="196"/>
      <c r="E156" s="198"/>
      <c r="F156" s="199"/>
      <c r="G156" s="200"/>
      <c r="H156" s="154"/>
    </row>
    <row r="157" spans="1:8" ht="15.75" x14ac:dyDescent="0.25">
      <c r="A157" s="196"/>
      <c r="B157" s="197"/>
      <c r="C157" s="197"/>
      <c r="D157" s="196"/>
      <c r="E157" s="198"/>
      <c r="F157" s="199"/>
      <c r="G157" s="200"/>
      <c r="H157" s="154"/>
    </row>
    <row r="158" spans="1:8" ht="15.75" x14ac:dyDescent="0.25">
      <c r="A158" s="196"/>
      <c r="B158" s="197"/>
      <c r="C158" s="197"/>
      <c r="D158" s="196"/>
      <c r="E158" s="198"/>
      <c r="F158" s="199"/>
      <c r="G158" s="200"/>
      <c r="H158" s="154"/>
    </row>
    <row r="159" spans="1:8" ht="15.75" x14ac:dyDescent="0.25">
      <c r="A159" s="196"/>
      <c r="B159" s="197"/>
      <c r="C159" s="197"/>
      <c r="D159" s="196"/>
      <c r="E159" s="198"/>
      <c r="F159" s="199"/>
      <c r="G159" s="200"/>
      <c r="H159" s="154"/>
    </row>
    <row r="160" spans="1:8" ht="15.75" x14ac:dyDescent="0.25">
      <c r="A160" s="196"/>
      <c r="B160" s="197"/>
      <c r="C160" s="197"/>
      <c r="D160" s="196"/>
      <c r="E160" s="198"/>
      <c r="F160" s="199"/>
      <c r="G160" s="200"/>
      <c r="H160" s="154"/>
    </row>
    <row r="161" spans="1:8" x14ac:dyDescent="0.25">
      <c r="F161" s="157"/>
      <c r="G161" s="201"/>
      <c r="H161" s="154"/>
    </row>
    <row r="162" spans="1:8" x14ac:dyDescent="0.25">
      <c r="A162" s="224" t="s">
        <v>581</v>
      </c>
      <c r="B162" s="224"/>
      <c r="C162" s="224"/>
      <c r="D162" s="224"/>
      <c r="E162" s="224"/>
      <c r="F162" s="224"/>
      <c r="G162" s="201"/>
      <c r="H162" s="154"/>
    </row>
    <row r="163" spans="1:8" x14ac:dyDescent="0.25">
      <c r="A163" s="38"/>
      <c r="B163" s="38"/>
      <c r="C163" s="38"/>
      <c r="D163" s="38"/>
      <c r="E163" s="36"/>
      <c r="F163" s="158"/>
      <c r="G163" s="201"/>
      <c r="H163" s="202"/>
    </row>
    <row r="164" spans="1:8" x14ac:dyDescent="0.25">
      <c r="A164" s="49" t="s">
        <v>153</v>
      </c>
      <c r="B164" s="146" t="s">
        <v>1</v>
      </c>
      <c r="C164" s="146" t="s">
        <v>2</v>
      </c>
      <c r="D164" s="48" t="s">
        <v>101</v>
      </c>
      <c r="E164" s="146" t="s">
        <v>4</v>
      </c>
      <c r="F164" s="72" t="s">
        <v>540</v>
      </c>
      <c r="G164" s="63" t="s">
        <v>542</v>
      </c>
      <c r="H164" s="58" t="s">
        <v>541</v>
      </c>
    </row>
    <row r="165" spans="1:8" x14ac:dyDescent="0.25">
      <c r="A165" s="146" t="s">
        <v>8</v>
      </c>
      <c r="B165" s="146" t="s">
        <v>10</v>
      </c>
      <c r="C165" s="146" t="s">
        <v>11</v>
      </c>
      <c r="D165" s="146" t="s">
        <v>12</v>
      </c>
      <c r="E165" s="146" t="s">
        <v>14</v>
      </c>
      <c r="F165" s="159" t="s">
        <v>15</v>
      </c>
      <c r="G165" s="155"/>
      <c r="H165" s="55"/>
    </row>
    <row r="166" spans="1:8" x14ac:dyDescent="0.25">
      <c r="A166" s="146"/>
      <c r="B166" s="146" t="s">
        <v>543</v>
      </c>
      <c r="C166" s="43">
        <v>2201900002</v>
      </c>
      <c r="D166" s="43" t="s">
        <v>173</v>
      </c>
      <c r="E166" s="44"/>
      <c r="F166" s="160"/>
      <c r="G166" s="155"/>
      <c r="H166" s="55"/>
    </row>
    <row r="167" spans="1:8" x14ac:dyDescent="0.25">
      <c r="A167" s="44">
        <v>1</v>
      </c>
      <c r="B167" s="45"/>
      <c r="C167" s="45"/>
      <c r="D167" s="45" t="s">
        <v>144</v>
      </c>
      <c r="E167" s="44">
        <v>10</v>
      </c>
      <c r="F167" s="186">
        <v>600</v>
      </c>
      <c r="G167" s="182">
        <f t="shared" si="2"/>
        <v>6000</v>
      </c>
      <c r="H167" s="180" t="s">
        <v>245</v>
      </c>
    </row>
    <row r="168" spans="1:8" x14ac:dyDescent="0.25">
      <c r="A168" s="44">
        <v>2</v>
      </c>
      <c r="B168" s="45"/>
      <c r="C168" s="45"/>
      <c r="D168" s="45" t="s">
        <v>145</v>
      </c>
      <c r="E168" s="44">
        <v>10</v>
      </c>
      <c r="F168" s="186">
        <v>450</v>
      </c>
      <c r="G168" s="182">
        <f t="shared" si="2"/>
        <v>4500</v>
      </c>
      <c r="H168" s="55"/>
    </row>
    <row r="169" spans="1:8" x14ac:dyDescent="0.25">
      <c r="A169" s="44">
        <v>3</v>
      </c>
      <c r="B169" s="45"/>
      <c r="C169" s="45"/>
      <c r="D169" s="45" t="s">
        <v>305</v>
      </c>
      <c r="E169" s="44">
        <v>20</v>
      </c>
      <c r="F169" s="186">
        <v>600</v>
      </c>
      <c r="G169" s="182">
        <f t="shared" si="2"/>
        <v>12000</v>
      </c>
      <c r="H169" s="41" t="s">
        <v>303</v>
      </c>
    </row>
    <row r="170" spans="1:8" x14ac:dyDescent="0.25">
      <c r="A170" s="44">
        <v>4</v>
      </c>
      <c r="B170" s="45"/>
      <c r="C170" s="45"/>
      <c r="D170" s="45" t="s">
        <v>320</v>
      </c>
      <c r="E170" s="44">
        <v>10</v>
      </c>
      <c r="F170" s="186">
        <v>500</v>
      </c>
      <c r="G170" s="182">
        <f t="shared" si="2"/>
        <v>5000</v>
      </c>
      <c r="H170" s="55"/>
    </row>
    <row r="171" spans="1:8" x14ac:dyDescent="0.25">
      <c r="A171" s="44">
        <v>5</v>
      </c>
      <c r="B171" s="45"/>
      <c r="C171" s="45"/>
      <c r="D171" s="45" t="s">
        <v>304</v>
      </c>
      <c r="E171" s="44">
        <v>10</v>
      </c>
      <c r="F171" s="186">
        <v>500</v>
      </c>
      <c r="G171" s="182">
        <f t="shared" si="2"/>
        <v>5000</v>
      </c>
      <c r="H171" s="55"/>
    </row>
    <row r="172" spans="1:8" ht="26.25" x14ac:dyDescent="0.25">
      <c r="A172" s="44">
        <v>6</v>
      </c>
      <c r="B172" s="45"/>
      <c r="C172" s="45"/>
      <c r="D172" s="52" t="s">
        <v>307</v>
      </c>
      <c r="E172" s="44">
        <v>5</v>
      </c>
      <c r="F172" s="186">
        <v>700</v>
      </c>
      <c r="G172" s="182">
        <f t="shared" si="2"/>
        <v>3500</v>
      </c>
      <c r="H172" s="55"/>
    </row>
    <row r="173" spans="1:8" x14ac:dyDescent="0.25">
      <c r="A173" s="44">
        <v>7</v>
      </c>
      <c r="B173" s="45"/>
      <c r="C173" s="45"/>
      <c r="D173" s="45" t="s">
        <v>306</v>
      </c>
      <c r="E173" s="44">
        <v>10</v>
      </c>
      <c r="F173" s="186">
        <v>200</v>
      </c>
      <c r="G173" s="182">
        <f t="shared" si="2"/>
        <v>2000</v>
      </c>
      <c r="H173" s="55"/>
    </row>
    <row r="174" spans="1:8" x14ac:dyDescent="0.25">
      <c r="A174" s="44">
        <v>8</v>
      </c>
      <c r="B174" s="45"/>
      <c r="C174" s="45"/>
      <c r="D174" s="45" t="s">
        <v>163</v>
      </c>
      <c r="E174" s="44">
        <v>10</v>
      </c>
      <c r="F174" s="186">
        <v>250</v>
      </c>
      <c r="G174" s="182">
        <f t="shared" si="2"/>
        <v>2500</v>
      </c>
      <c r="H174" s="55"/>
    </row>
    <row r="175" spans="1:8" ht="26.25" x14ac:dyDescent="0.25">
      <c r="A175" s="44">
        <v>9</v>
      </c>
      <c r="B175" s="45"/>
      <c r="C175" s="45"/>
      <c r="D175" s="52" t="s">
        <v>308</v>
      </c>
      <c r="E175" s="44">
        <v>25</v>
      </c>
      <c r="F175" s="186">
        <v>70</v>
      </c>
      <c r="G175" s="182">
        <f t="shared" si="2"/>
        <v>1750</v>
      </c>
      <c r="H175" s="55"/>
    </row>
    <row r="176" spans="1:8" ht="26.25" x14ac:dyDescent="0.25">
      <c r="A176" s="44">
        <v>10</v>
      </c>
      <c r="B176" s="45"/>
      <c r="C176" s="45"/>
      <c r="D176" s="52" t="s">
        <v>321</v>
      </c>
      <c r="E176" s="44">
        <v>15</v>
      </c>
      <c r="F176" s="186">
        <v>80</v>
      </c>
      <c r="G176" s="182">
        <f t="shared" si="2"/>
        <v>1200</v>
      </c>
      <c r="H176" s="55"/>
    </row>
    <row r="177" spans="1:8" x14ac:dyDescent="0.25">
      <c r="A177" s="44">
        <v>11</v>
      </c>
      <c r="B177" s="45"/>
      <c r="C177" s="45"/>
      <c r="D177" s="45" t="s">
        <v>425</v>
      </c>
      <c r="E177" s="44">
        <v>5</v>
      </c>
      <c r="F177" s="186">
        <v>800</v>
      </c>
      <c r="G177" s="182">
        <f t="shared" si="2"/>
        <v>4000</v>
      </c>
      <c r="H177" s="55"/>
    </row>
    <row r="178" spans="1:8" x14ac:dyDescent="0.25">
      <c r="A178" s="44">
        <v>12</v>
      </c>
      <c r="B178" s="45"/>
      <c r="C178" s="45"/>
      <c r="D178" s="45" t="s">
        <v>341</v>
      </c>
      <c r="E178" s="44">
        <v>5</v>
      </c>
      <c r="F178" s="186">
        <v>800</v>
      </c>
      <c r="G178" s="182">
        <f t="shared" si="2"/>
        <v>4000</v>
      </c>
      <c r="H178" s="55"/>
    </row>
    <row r="179" spans="1:8" x14ac:dyDescent="0.25">
      <c r="A179" s="44">
        <v>13</v>
      </c>
      <c r="B179" s="45"/>
      <c r="C179" s="45"/>
      <c r="D179" s="45" t="s">
        <v>215</v>
      </c>
      <c r="E179" s="44">
        <v>12</v>
      </c>
      <c r="F179" s="186">
        <v>600</v>
      </c>
      <c r="G179" s="182">
        <f t="shared" si="2"/>
        <v>7200</v>
      </c>
      <c r="H179" s="55"/>
    </row>
    <row r="180" spans="1:8" x14ac:dyDescent="0.25">
      <c r="A180" s="44">
        <v>14</v>
      </c>
      <c r="B180" s="45"/>
      <c r="C180" s="45"/>
      <c r="D180" s="45" t="s">
        <v>309</v>
      </c>
      <c r="E180" s="44">
        <v>50</v>
      </c>
      <c r="F180" s="186">
        <v>350</v>
      </c>
      <c r="G180" s="182">
        <f t="shared" si="2"/>
        <v>17500</v>
      </c>
      <c r="H180" s="55"/>
    </row>
    <row r="181" spans="1:8" x14ac:dyDescent="0.25">
      <c r="A181" s="75">
        <v>15</v>
      </c>
      <c r="B181" s="55"/>
      <c r="C181" s="55"/>
      <c r="D181" s="50" t="s">
        <v>310</v>
      </c>
      <c r="E181" s="97">
        <v>5</v>
      </c>
      <c r="F181" s="186">
        <v>1500</v>
      </c>
      <c r="G181" s="182">
        <f t="shared" si="2"/>
        <v>7500</v>
      </c>
      <c r="H181" s="55"/>
    </row>
    <row r="182" spans="1:8" ht="26.25" x14ac:dyDescent="0.25">
      <c r="A182" s="44">
        <v>16</v>
      </c>
      <c r="B182" s="96"/>
      <c r="C182" s="96"/>
      <c r="D182" s="189" t="s">
        <v>427</v>
      </c>
      <c r="E182" s="44">
        <v>18</v>
      </c>
      <c r="F182" s="186">
        <v>40</v>
      </c>
      <c r="G182" s="182">
        <f t="shared" si="2"/>
        <v>720</v>
      </c>
      <c r="H182" s="82" t="s">
        <v>95</v>
      </c>
    </row>
    <row r="183" spans="1:8" ht="26.25" x14ac:dyDescent="0.25">
      <c r="A183" s="44">
        <v>17</v>
      </c>
      <c r="B183" s="45"/>
      <c r="C183" s="45"/>
      <c r="D183" s="52" t="s">
        <v>426</v>
      </c>
      <c r="E183" s="44">
        <v>18</v>
      </c>
      <c r="F183" s="186">
        <v>40</v>
      </c>
      <c r="G183" s="182">
        <f t="shared" si="2"/>
        <v>720</v>
      </c>
      <c r="H183" s="55"/>
    </row>
    <row r="184" spans="1:8" x14ac:dyDescent="0.25">
      <c r="A184" s="44">
        <v>18</v>
      </c>
      <c r="B184" s="45"/>
      <c r="C184" s="45"/>
      <c r="D184" s="45" t="s">
        <v>302</v>
      </c>
      <c r="E184" s="44">
        <v>10</v>
      </c>
      <c r="F184" s="186">
        <v>50</v>
      </c>
      <c r="G184" s="182">
        <f t="shared" si="2"/>
        <v>500</v>
      </c>
      <c r="H184" s="55"/>
    </row>
    <row r="185" spans="1:8" x14ac:dyDescent="0.25">
      <c r="A185" s="44">
        <v>19</v>
      </c>
      <c r="B185" s="45"/>
      <c r="C185" s="45"/>
      <c r="D185" s="45" t="s">
        <v>349</v>
      </c>
      <c r="E185" s="44">
        <v>20</v>
      </c>
      <c r="F185" s="186">
        <v>500</v>
      </c>
      <c r="G185" s="182">
        <f t="shared" si="2"/>
        <v>10000</v>
      </c>
      <c r="H185" s="55"/>
    </row>
    <row r="186" spans="1:8" x14ac:dyDescent="0.25">
      <c r="A186" s="44">
        <v>20</v>
      </c>
      <c r="B186" s="45"/>
      <c r="C186" s="45"/>
      <c r="D186" s="45" t="s">
        <v>87</v>
      </c>
      <c r="E186" s="44">
        <v>40</v>
      </c>
      <c r="F186" s="186">
        <v>250</v>
      </c>
      <c r="G186" s="182">
        <f t="shared" si="2"/>
        <v>10000</v>
      </c>
      <c r="H186" s="55"/>
    </row>
    <row r="187" spans="1:8" x14ac:dyDescent="0.25">
      <c r="A187" s="44">
        <v>21</v>
      </c>
      <c r="B187" s="45"/>
      <c r="C187" s="45"/>
      <c r="D187" s="45" t="s">
        <v>340</v>
      </c>
      <c r="E187" s="44">
        <v>40</v>
      </c>
      <c r="F187" s="186">
        <v>250</v>
      </c>
      <c r="G187" s="182">
        <f t="shared" si="2"/>
        <v>10000</v>
      </c>
      <c r="H187" s="55"/>
    </row>
    <row r="188" spans="1:8" x14ac:dyDescent="0.25">
      <c r="A188" s="44">
        <v>23</v>
      </c>
      <c r="B188" s="45"/>
      <c r="C188" s="45"/>
      <c r="D188" s="45" t="s">
        <v>351</v>
      </c>
      <c r="E188" s="44">
        <v>100</v>
      </c>
      <c r="F188" s="186">
        <v>350</v>
      </c>
      <c r="G188" s="182">
        <f t="shared" si="2"/>
        <v>35000</v>
      </c>
      <c r="H188" s="41" t="s">
        <v>246</v>
      </c>
    </row>
    <row r="189" spans="1:8" x14ac:dyDescent="0.25">
      <c r="A189" s="44">
        <v>24</v>
      </c>
      <c r="B189" s="45"/>
      <c r="C189" s="45"/>
      <c r="D189" s="45" t="s">
        <v>293</v>
      </c>
      <c r="E189" s="44">
        <v>100</v>
      </c>
      <c r="F189" s="186">
        <v>500</v>
      </c>
      <c r="G189" s="182">
        <f t="shared" si="2"/>
        <v>50000</v>
      </c>
      <c r="H189" s="55"/>
    </row>
    <row r="190" spans="1:8" x14ac:dyDescent="0.25">
      <c r="A190" s="44">
        <v>25</v>
      </c>
      <c r="B190" s="45"/>
      <c r="C190" s="45"/>
      <c r="D190" s="45" t="s">
        <v>294</v>
      </c>
      <c r="E190" s="44">
        <v>15</v>
      </c>
      <c r="F190" s="186">
        <v>450</v>
      </c>
      <c r="G190" s="182">
        <f t="shared" si="2"/>
        <v>6750</v>
      </c>
      <c r="H190" s="55"/>
    </row>
    <row r="191" spans="1:8" x14ac:dyDescent="0.25">
      <c r="A191" s="44">
        <v>26</v>
      </c>
      <c r="B191" s="45"/>
      <c r="C191" s="45"/>
      <c r="D191" s="45" t="s">
        <v>295</v>
      </c>
      <c r="E191" s="44">
        <v>10</v>
      </c>
      <c r="F191" s="186">
        <v>450</v>
      </c>
      <c r="G191" s="182">
        <f t="shared" si="2"/>
        <v>4500</v>
      </c>
      <c r="H191" s="55"/>
    </row>
    <row r="192" spans="1:8" x14ac:dyDescent="0.25">
      <c r="A192" s="44">
        <v>27</v>
      </c>
      <c r="B192" s="45"/>
      <c r="C192" s="45"/>
      <c r="D192" s="45" t="s">
        <v>296</v>
      </c>
      <c r="E192" s="44">
        <v>10</v>
      </c>
      <c r="F192" s="186">
        <v>350</v>
      </c>
      <c r="G192" s="182">
        <f t="shared" si="2"/>
        <v>3500</v>
      </c>
      <c r="H192" s="55"/>
    </row>
    <row r="193" spans="1:8" x14ac:dyDescent="0.25">
      <c r="A193" s="44">
        <v>28</v>
      </c>
      <c r="B193" s="45"/>
      <c r="C193" s="45"/>
      <c r="D193" s="45" t="s">
        <v>297</v>
      </c>
      <c r="E193" s="44">
        <v>30</v>
      </c>
      <c r="F193" s="186">
        <v>1500</v>
      </c>
      <c r="G193" s="182">
        <f t="shared" si="2"/>
        <v>45000</v>
      </c>
      <c r="H193" s="55"/>
    </row>
    <row r="194" spans="1:8" x14ac:dyDescent="0.25">
      <c r="A194" s="44">
        <v>29</v>
      </c>
      <c r="B194" s="45"/>
      <c r="C194" s="45"/>
      <c r="D194" s="45" t="s">
        <v>298</v>
      </c>
      <c r="E194" s="44">
        <v>20</v>
      </c>
      <c r="F194" s="186">
        <v>1500</v>
      </c>
      <c r="G194" s="182">
        <f t="shared" si="2"/>
        <v>30000</v>
      </c>
      <c r="H194" s="55"/>
    </row>
    <row r="195" spans="1:8" ht="26.25" x14ac:dyDescent="0.25">
      <c r="A195" s="44">
        <v>30</v>
      </c>
      <c r="B195" s="45"/>
      <c r="C195" s="45"/>
      <c r="D195" s="52" t="s">
        <v>299</v>
      </c>
      <c r="E195" s="44">
        <v>10</v>
      </c>
      <c r="F195" s="186">
        <v>400</v>
      </c>
      <c r="G195" s="182">
        <f t="shared" si="2"/>
        <v>4000</v>
      </c>
      <c r="H195" s="55"/>
    </row>
    <row r="196" spans="1:8" ht="26.25" x14ac:dyDescent="0.25">
      <c r="A196" s="44">
        <v>31</v>
      </c>
      <c r="B196" s="45"/>
      <c r="C196" s="45"/>
      <c r="D196" s="52" t="s">
        <v>300</v>
      </c>
      <c r="E196" s="44">
        <v>20</v>
      </c>
      <c r="F196" s="186">
        <v>400</v>
      </c>
      <c r="G196" s="182">
        <f t="shared" si="2"/>
        <v>8000</v>
      </c>
      <c r="H196" s="55"/>
    </row>
    <row r="197" spans="1:8" ht="26.25" x14ac:dyDescent="0.25">
      <c r="A197" s="44">
        <v>32</v>
      </c>
      <c r="B197" s="45"/>
      <c r="C197" s="45"/>
      <c r="D197" s="52" t="s">
        <v>301</v>
      </c>
      <c r="E197" s="44">
        <v>10</v>
      </c>
      <c r="F197" s="186">
        <v>250</v>
      </c>
      <c r="G197" s="182">
        <f t="shared" si="2"/>
        <v>2500</v>
      </c>
      <c r="H197" s="55"/>
    </row>
    <row r="198" spans="1:8" x14ac:dyDescent="0.25">
      <c r="A198" s="44">
        <v>33</v>
      </c>
      <c r="B198" s="45"/>
      <c r="C198" s="45"/>
      <c r="D198" s="45" t="s">
        <v>147</v>
      </c>
      <c r="E198" s="44">
        <v>20</v>
      </c>
      <c r="F198" s="186">
        <v>250</v>
      </c>
      <c r="G198" s="182">
        <f t="shared" si="2"/>
        <v>5000</v>
      </c>
      <c r="H198" s="55"/>
    </row>
    <row r="199" spans="1:8" x14ac:dyDescent="0.25">
      <c r="A199" s="44">
        <v>34</v>
      </c>
      <c r="B199" s="45"/>
      <c r="C199" s="45"/>
      <c r="D199" s="45" t="s">
        <v>69</v>
      </c>
      <c r="E199" s="44">
        <v>20</v>
      </c>
      <c r="F199" s="186">
        <v>150</v>
      </c>
      <c r="G199" s="182">
        <f t="shared" si="2"/>
        <v>3000</v>
      </c>
      <c r="H199" s="55"/>
    </row>
    <row r="200" spans="1:8" x14ac:dyDescent="0.25">
      <c r="A200" s="44">
        <v>35</v>
      </c>
      <c r="B200" s="45"/>
      <c r="C200" s="45"/>
      <c r="D200" s="45" t="s">
        <v>70</v>
      </c>
      <c r="E200" s="44">
        <v>10</v>
      </c>
      <c r="F200" s="186">
        <v>150</v>
      </c>
      <c r="G200" s="182">
        <f t="shared" si="2"/>
        <v>1500</v>
      </c>
      <c r="H200" s="55"/>
    </row>
    <row r="201" spans="1:8" x14ac:dyDescent="0.25">
      <c r="A201" s="44">
        <v>36</v>
      </c>
      <c r="B201" s="45"/>
      <c r="C201" s="45"/>
      <c r="D201" s="45" t="s">
        <v>146</v>
      </c>
      <c r="E201" s="44">
        <v>20</v>
      </c>
      <c r="F201" s="186">
        <v>500</v>
      </c>
      <c r="G201" s="182">
        <f t="shared" si="2"/>
        <v>10000</v>
      </c>
      <c r="H201" s="55"/>
    </row>
    <row r="202" spans="1:8" x14ac:dyDescent="0.25">
      <c r="A202" s="44">
        <v>37</v>
      </c>
      <c r="B202" s="45"/>
      <c r="C202" s="45"/>
      <c r="D202" s="45" t="s">
        <v>252</v>
      </c>
      <c r="E202" s="44">
        <v>20</v>
      </c>
      <c r="F202" s="186">
        <v>400</v>
      </c>
      <c r="G202" s="182">
        <f t="shared" si="2"/>
        <v>8000</v>
      </c>
      <c r="H202" s="55"/>
    </row>
    <row r="203" spans="1:8" x14ac:dyDescent="0.25">
      <c r="A203" s="44">
        <v>38</v>
      </c>
      <c r="B203" s="28"/>
      <c r="C203" s="28"/>
      <c r="D203" s="50" t="s">
        <v>247</v>
      </c>
      <c r="E203" s="44">
        <v>20</v>
      </c>
      <c r="F203" s="186">
        <v>350</v>
      </c>
      <c r="G203" s="182">
        <f t="shared" si="2"/>
        <v>7000</v>
      </c>
      <c r="H203" s="55"/>
    </row>
    <row r="204" spans="1:8" x14ac:dyDescent="0.25">
      <c r="A204" s="44">
        <v>39</v>
      </c>
      <c r="B204" s="28"/>
      <c r="C204" s="28"/>
      <c r="D204" s="50" t="s">
        <v>248</v>
      </c>
      <c r="E204" s="44">
        <v>20</v>
      </c>
      <c r="F204" s="186">
        <v>1500</v>
      </c>
      <c r="G204" s="182">
        <f t="shared" si="2"/>
        <v>30000</v>
      </c>
      <c r="H204" s="55"/>
    </row>
    <row r="205" spans="1:8" ht="26.25" x14ac:dyDescent="0.25">
      <c r="A205" s="44">
        <v>40</v>
      </c>
      <c r="B205" s="28"/>
      <c r="C205" s="28"/>
      <c r="D205" s="95" t="s">
        <v>249</v>
      </c>
      <c r="E205" s="44">
        <v>20</v>
      </c>
      <c r="F205" s="186">
        <v>150</v>
      </c>
      <c r="G205" s="182">
        <f t="shared" si="2"/>
        <v>3000</v>
      </c>
      <c r="H205" s="55"/>
    </row>
    <row r="206" spans="1:8" x14ac:dyDescent="0.25">
      <c r="A206" s="44">
        <v>41</v>
      </c>
      <c r="B206" s="28"/>
      <c r="C206" s="28"/>
      <c r="D206" s="50" t="s">
        <v>250</v>
      </c>
      <c r="E206" s="44">
        <v>20</v>
      </c>
      <c r="F206" s="186">
        <v>1500</v>
      </c>
      <c r="G206" s="182">
        <f t="shared" si="2"/>
        <v>30000</v>
      </c>
      <c r="H206" s="55"/>
    </row>
    <row r="207" spans="1:8" ht="26.25" x14ac:dyDescent="0.25">
      <c r="A207" s="44">
        <v>42</v>
      </c>
      <c r="B207" s="45"/>
      <c r="C207" s="45"/>
      <c r="D207" s="52" t="s">
        <v>322</v>
      </c>
      <c r="E207" s="44">
        <v>50</v>
      </c>
      <c r="F207" s="186">
        <v>90</v>
      </c>
      <c r="G207" s="182">
        <f t="shared" si="2"/>
        <v>4500</v>
      </c>
      <c r="H207" s="41" t="s">
        <v>251</v>
      </c>
    </row>
    <row r="208" spans="1:8" x14ac:dyDescent="0.25">
      <c r="A208" s="44">
        <v>43</v>
      </c>
      <c r="B208" s="45"/>
      <c r="C208" s="45"/>
      <c r="D208" s="45" t="s">
        <v>74</v>
      </c>
      <c r="E208" s="44">
        <v>500</v>
      </c>
      <c r="F208" s="186">
        <v>7</v>
      </c>
      <c r="G208" s="182">
        <f t="shared" si="2"/>
        <v>3500</v>
      </c>
      <c r="H208" s="55"/>
    </row>
    <row r="209" spans="1:8" x14ac:dyDescent="0.25">
      <c r="A209" s="44">
        <v>44</v>
      </c>
      <c r="B209" s="45"/>
      <c r="C209" s="45"/>
      <c r="D209" s="45" t="s">
        <v>76</v>
      </c>
      <c r="E209" s="44">
        <v>200</v>
      </c>
      <c r="F209" s="186">
        <v>30</v>
      </c>
      <c r="G209" s="182">
        <f t="shared" si="2"/>
        <v>6000</v>
      </c>
      <c r="H209" s="55"/>
    </row>
    <row r="210" spans="1:8" x14ac:dyDescent="0.25">
      <c r="A210" s="44">
        <v>45</v>
      </c>
      <c r="B210" s="45"/>
      <c r="C210" s="45"/>
      <c r="D210" s="45" t="s">
        <v>79</v>
      </c>
      <c r="E210" s="44">
        <v>100</v>
      </c>
      <c r="F210" s="186">
        <v>100</v>
      </c>
      <c r="G210" s="182">
        <f t="shared" si="2"/>
        <v>10000</v>
      </c>
      <c r="H210" s="55"/>
    </row>
    <row r="211" spans="1:8" x14ac:dyDescent="0.25">
      <c r="A211" s="44">
        <v>46</v>
      </c>
      <c r="B211" s="45"/>
      <c r="C211" s="45"/>
      <c r="D211" s="45" t="s">
        <v>81</v>
      </c>
      <c r="E211" s="44">
        <v>5</v>
      </c>
      <c r="F211" s="186">
        <v>150</v>
      </c>
      <c r="G211" s="182">
        <f t="shared" si="2"/>
        <v>750</v>
      </c>
      <c r="H211" s="55"/>
    </row>
    <row r="212" spans="1:8" x14ac:dyDescent="0.25">
      <c r="A212" s="44">
        <v>47</v>
      </c>
      <c r="B212" s="45"/>
      <c r="C212" s="45"/>
      <c r="D212" s="45" t="s">
        <v>89</v>
      </c>
      <c r="E212" s="44">
        <v>15</v>
      </c>
      <c r="F212" s="186">
        <v>20</v>
      </c>
      <c r="G212" s="182">
        <f t="shared" ref="G212:G232" si="3">E212*F212</f>
        <v>300</v>
      </c>
      <c r="H212" s="55"/>
    </row>
    <row r="213" spans="1:8" ht="26.25" x14ac:dyDescent="0.25">
      <c r="A213" s="44">
        <v>48</v>
      </c>
      <c r="B213" s="45"/>
      <c r="C213" s="45"/>
      <c r="D213" s="52" t="s">
        <v>96</v>
      </c>
      <c r="E213" s="44">
        <v>5</v>
      </c>
      <c r="F213" s="186">
        <v>350</v>
      </c>
      <c r="G213" s="182">
        <f t="shared" si="3"/>
        <v>1750</v>
      </c>
      <c r="H213" s="55"/>
    </row>
    <row r="214" spans="1:8" x14ac:dyDescent="0.25">
      <c r="A214" s="44">
        <v>49</v>
      </c>
      <c r="B214" s="45"/>
      <c r="C214" s="45"/>
      <c r="D214" s="45" t="s">
        <v>83</v>
      </c>
      <c r="E214" s="44">
        <v>10</v>
      </c>
      <c r="F214" s="186">
        <v>20</v>
      </c>
      <c r="G214" s="182">
        <f t="shared" si="3"/>
        <v>200</v>
      </c>
      <c r="H214" s="55"/>
    </row>
    <row r="215" spans="1:8" x14ac:dyDescent="0.25">
      <c r="A215" s="44">
        <v>50</v>
      </c>
      <c r="B215" s="45"/>
      <c r="C215" s="45"/>
      <c r="D215" s="45" t="s">
        <v>84</v>
      </c>
      <c r="E215" s="44">
        <v>4</v>
      </c>
      <c r="F215" s="186">
        <v>70</v>
      </c>
      <c r="G215" s="182">
        <f t="shared" si="3"/>
        <v>280</v>
      </c>
      <c r="H215" s="55"/>
    </row>
    <row r="216" spans="1:8" x14ac:dyDescent="0.25">
      <c r="A216" s="44">
        <v>51</v>
      </c>
      <c r="B216" s="45"/>
      <c r="C216" s="45"/>
      <c r="D216" s="45" t="s">
        <v>85</v>
      </c>
      <c r="E216" s="44">
        <v>10</v>
      </c>
      <c r="F216" s="186">
        <v>100</v>
      </c>
      <c r="G216" s="182">
        <f t="shared" si="3"/>
        <v>1000</v>
      </c>
      <c r="H216" s="55"/>
    </row>
    <row r="217" spans="1:8" ht="26.25" x14ac:dyDescent="0.25">
      <c r="A217" s="44">
        <v>52</v>
      </c>
      <c r="B217" s="45"/>
      <c r="C217" s="45"/>
      <c r="D217" s="52" t="s">
        <v>244</v>
      </c>
      <c r="E217" s="44">
        <v>10</v>
      </c>
      <c r="F217" s="186">
        <v>500</v>
      </c>
      <c r="G217" s="182">
        <f t="shared" si="3"/>
        <v>5000</v>
      </c>
      <c r="H217" s="55"/>
    </row>
    <row r="218" spans="1:8" x14ac:dyDescent="0.25">
      <c r="A218" s="44">
        <v>53</v>
      </c>
      <c r="B218" s="45"/>
      <c r="C218" s="45"/>
      <c r="D218" s="45" t="s">
        <v>160</v>
      </c>
      <c r="E218" s="44">
        <v>100</v>
      </c>
      <c r="F218" s="186">
        <v>7</v>
      </c>
      <c r="G218" s="182">
        <f t="shared" si="3"/>
        <v>700</v>
      </c>
      <c r="H218" s="55"/>
    </row>
    <row r="219" spans="1:8" x14ac:dyDescent="0.25">
      <c r="A219" s="44">
        <v>54</v>
      </c>
      <c r="B219" s="45"/>
      <c r="C219" s="45"/>
      <c r="D219" s="45" t="s">
        <v>88</v>
      </c>
      <c r="E219" s="44">
        <v>20</v>
      </c>
      <c r="F219" s="186">
        <v>250</v>
      </c>
      <c r="G219" s="182">
        <f t="shared" si="3"/>
        <v>5000</v>
      </c>
      <c r="H219" s="55"/>
    </row>
    <row r="220" spans="1:8" x14ac:dyDescent="0.25">
      <c r="A220" s="44">
        <v>55</v>
      </c>
      <c r="B220" s="45"/>
      <c r="C220" s="45"/>
      <c r="D220" s="45" t="s">
        <v>264</v>
      </c>
      <c r="E220" s="44">
        <v>15</v>
      </c>
      <c r="F220" s="186">
        <v>50</v>
      </c>
      <c r="G220" s="182">
        <f t="shared" si="3"/>
        <v>750</v>
      </c>
      <c r="H220" s="55"/>
    </row>
    <row r="221" spans="1:8" x14ac:dyDescent="0.25">
      <c r="A221" s="44">
        <v>56</v>
      </c>
      <c r="B221" s="45"/>
      <c r="C221" s="45"/>
      <c r="D221" s="45" t="s">
        <v>258</v>
      </c>
      <c r="E221" s="44">
        <v>15</v>
      </c>
      <c r="F221" s="186">
        <v>20</v>
      </c>
      <c r="G221" s="182">
        <f t="shared" si="3"/>
        <v>300</v>
      </c>
      <c r="H221" s="55"/>
    </row>
    <row r="222" spans="1:8" x14ac:dyDescent="0.25">
      <c r="A222" s="44">
        <v>57</v>
      </c>
      <c r="B222" s="45"/>
      <c r="C222" s="45"/>
      <c r="D222" s="45" t="s">
        <v>259</v>
      </c>
      <c r="E222" s="44">
        <v>50</v>
      </c>
      <c r="F222" s="186">
        <v>20</v>
      </c>
      <c r="G222" s="182">
        <f t="shared" si="3"/>
        <v>1000</v>
      </c>
      <c r="H222" s="55"/>
    </row>
    <row r="223" spans="1:8" x14ac:dyDescent="0.25">
      <c r="A223" s="44">
        <v>58</v>
      </c>
      <c r="B223" s="45"/>
      <c r="C223" s="45"/>
      <c r="D223" s="45" t="s">
        <v>260</v>
      </c>
      <c r="E223" s="44">
        <v>100</v>
      </c>
      <c r="F223" s="186">
        <v>15</v>
      </c>
      <c r="G223" s="182">
        <f t="shared" si="3"/>
        <v>1500</v>
      </c>
      <c r="H223" s="55"/>
    </row>
    <row r="224" spans="1:8" x14ac:dyDescent="0.25">
      <c r="A224" s="44">
        <v>59</v>
      </c>
      <c r="B224" s="45"/>
      <c r="C224" s="45"/>
      <c r="D224" s="45" t="s">
        <v>261</v>
      </c>
      <c r="E224" s="44">
        <v>50</v>
      </c>
      <c r="F224" s="186">
        <v>20</v>
      </c>
      <c r="G224" s="182">
        <f t="shared" si="3"/>
        <v>1000</v>
      </c>
      <c r="H224" s="55"/>
    </row>
    <row r="225" spans="1:8" x14ac:dyDescent="0.25">
      <c r="A225" s="44">
        <v>60</v>
      </c>
      <c r="B225" s="45"/>
      <c r="C225" s="45"/>
      <c r="D225" s="45" t="s">
        <v>262</v>
      </c>
      <c r="E225" s="44">
        <v>10</v>
      </c>
      <c r="F225" s="186">
        <v>70</v>
      </c>
      <c r="G225" s="182">
        <f t="shared" si="3"/>
        <v>700</v>
      </c>
      <c r="H225" s="55"/>
    </row>
    <row r="226" spans="1:8" x14ac:dyDescent="0.25">
      <c r="A226" s="44">
        <v>61</v>
      </c>
      <c r="B226" s="45"/>
      <c r="C226" s="45"/>
      <c r="D226" s="45" t="s">
        <v>315</v>
      </c>
      <c r="E226" s="44">
        <v>5</v>
      </c>
      <c r="F226" s="186">
        <v>30</v>
      </c>
      <c r="G226" s="182">
        <f t="shared" si="3"/>
        <v>150</v>
      </c>
      <c r="H226" s="55"/>
    </row>
    <row r="227" spans="1:8" x14ac:dyDescent="0.25">
      <c r="A227" s="44">
        <v>62</v>
      </c>
      <c r="B227" s="45"/>
      <c r="C227" s="45"/>
      <c r="D227" s="45" t="s">
        <v>316</v>
      </c>
      <c r="E227" s="44">
        <v>10</v>
      </c>
      <c r="F227" s="186">
        <v>60</v>
      </c>
      <c r="G227" s="182">
        <f t="shared" si="3"/>
        <v>600</v>
      </c>
      <c r="H227" s="55"/>
    </row>
    <row r="228" spans="1:8" x14ac:dyDescent="0.25">
      <c r="A228" s="44">
        <v>63</v>
      </c>
      <c r="B228" s="45"/>
      <c r="C228" s="45"/>
      <c r="D228" s="45" t="s">
        <v>263</v>
      </c>
      <c r="E228" s="44">
        <v>10</v>
      </c>
      <c r="F228" s="186">
        <v>70</v>
      </c>
      <c r="G228" s="182">
        <f t="shared" si="3"/>
        <v>700</v>
      </c>
      <c r="H228" s="55"/>
    </row>
    <row r="229" spans="1:8" x14ac:dyDescent="0.25">
      <c r="A229" s="44">
        <v>64</v>
      </c>
      <c r="B229" s="45"/>
      <c r="C229" s="92"/>
      <c r="D229" s="45" t="s">
        <v>347</v>
      </c>
      <c r="E229" s="44">
        <v>3</v>
      </c>
      <c r="F229" s="186">
        <v>70</v>
      </c>
      <c r="G229" s="182">
        <f t="shared" si="3"/>
        <v>210</v>
      </c>
      <c r="H229" s="55"/>
    </row>
    <row r="230" spans="1:8" x14ac:dyDescent="0.25">
      <c r="A230" s="44">
        <v>65</v>
      </c>
      <c r="B230" s="45"/>
      <c r="C230" s="92"/>
      <c r="D230" s="45" t="s">
        <v>348</v>
      </c>
      <c r="E230" s="44">
        <v>2</v>
      </c>
      <c r="F230" s="186">
        <v>350</v>
      </c>
      <c r="G230" s="182">
        <f t="shared" si="3"/>
        <v>700</v>
      </c>
      <c r="H230" s="55"/>
    </row>
    <row r="231" spans="1:8" x14ac:dyDescent="0.25">
      <c r="A231" s="44">
        <v>66</v>
      </c>
      <c r="B231" s="45"/>
      <c r="C231" s="92"/>
      <c r="D231" s="45" t="s">
        <v>428</v>
      </c>
      <c r="E231" s="44">
        <v>2</v>
      </c>
      <c r="F231" s="186">
        <v>350</v>
      </c>
      <c r="G231" s="182">
        <f t="shared" si="3"/>
        <v>700</v>
      </c>
      <c r="H231" s="55"/>
    </row>
    <row r="232" spans="1:8" x14ac:dyDescent="0.25">
      <c r="A232" s="44">
        <v>67</v>
      </c>
      <c r="B232" s="45"/>
      <c r="C232" s="92"/>
      <c r="D232" s="45" t="s">
        <v>429</v>
      </c>
      <c r="E232" s="44">
        <v>20</v>
      </c>
      <c r="F232" s="186">
        <v>350</v>
      </c>
      <c r="G232" s="182">
        <f t="shared" si="3"/>
        <v>7000</v>
      </c>
      <c r="H232" s="55"/>
    </row>
    <row r="233" spans="1:8" x14ac:dyDescent="0.25">
      <c r="A233" s="45"/>
      <c r="B233" s="218" t="s">
        <v>466</v>
      </c>
      <c r="C233" s="219"/>
      <c r="D233" s="43"/>
      <c r="E233" s="44"/>
      <c r="F233" s="187">
        <f>SUM(F167:F232)</f>
        <v>23399</v>
      </c>
      <c r="G233" s="187"/>
      <c r="H233" s="55"/>
    </row>
    <row r="234" spans="1:8" ht="15.75" x14ac:dyDescent="0.25">
      <c r="A234" s="28"/>
      <c r="B234" s="227" t="s">
        <v>317</v>
      </c>
      <c r="C234" s="228"/>
      <c r="D234" s="28"/>
      <c r="E234" s="27"/>
      <c r="F234" s="161"/>
      <c r="G234" s="188">
        <f>SUM(G167:G233)</f>
        <v>456630</v>
      </c>
      <c r="H234" s="55"/>
    </row>
    <row r="235" spans="1:8" ht="15.75" x14ac:dyDescent="0.25">
      <c r="A235" s="210"/>
      <c r="B235" s="211"/>
      <c r="C235" s="211"/>
      <c r="D235" s="210"/>
      <c r="E235" s="212"/>
      <c r="F235" s="213"/>
      <c r="G235" s="214"/>
      <c r="H235" s="55"/>
    </row>
    <row r="236" spans="1:8" ht="15.75" x14ac:dyDescent="0.25">
      <c r="A236" s="210"/>
      <c r="B236" s="211"/>
      <c r="C236" s="211"/>
      <c r="D236" s="210"/>
      <c r="E236" s="212"/>
      <c r="F236" s="213"/>
      <c r="G236" s="214"/>
      <c r="H236" s="55"/>
    </row>
    <row r="237" spans="1:8" ht="15.75" x14ac:dyDescent="0.25">
      <c r="A237" s="210"/>
      <c r="B237" s="211"/>
      <c r="C237" s="211"/>
      <c r="D237" s="210"/>
      <c r="E237" s="212"/>
      <c r="F237" s="213"/>
      <c r="G237" s="214"/>
      <c r="H237" s="55"/>
    </row>
    <row r="238" spans="1:8" ht="15.75" x14ac:dyDescent="0.25">
      <c r="A238" s="210"/>
      <c r="B238" s="211"/>
      <c r="C238" s="211"/>
      <c r="D238" s="210"/>
      <c r="E238" s="212"/>
      <c r="F238" s="213"/>
      <c r="G238" s="214"/>
      <c r="H238" s="55"/>
    </row>
    <row r="239" spans="1:8" ht="15.75" x14ac:dyDescent="0.25">
      <c r="A239" s="210"/>
      <c r="B239" s="211"/>
      <c r="C239" s="211"/>
      <c r="D239" s="210"/>
      <c r="E239" s="212"/>
      <c r="F239" s="213"/>
      <c r="G239" s="214"/>
      <c r="H239" s="55"/>
    </row>
    <row r="240" spans="1:8" ht="15.75" x14ac:dyDescent="0.25">
      <c r="A240" s="210"/>
      <c r="B240" s="211"/>
      <c r="C240" s="211"/>
      <c r="D240" s="210"/>
      <c r="E240" s="212"/>
      <c r="F240" s="213"/>
      <c r="G240" s="214"/>
      <c r="H240" s="55"/>
    </row>
    <row r="241" spans="1:8" x14ac:dyDescent="0.25">
      <c r="F241" s="157"/>
      <c r="G241" s="157"/>
      <c r="H241" s="55"/>
    </row>
    <row r="242" spans="1:8" x14ac:dyDescent="0.25">
      <c r="A242" s="220" t="s">
        <v>582</v>
      </c>
      <c r="B242" s="220"/>
      <c r="C242" s="220"/>
      <c r="D242" s="220"/>
      <c r="E242" s="220"/>
      <c r="F242" s="220"/>
      <c r="G242" s="157"/>
      <c r="H242" s="55"/>
    </row>
    <row r="243" spans="1:8" x14ac:dyDescent="0.25">
      <c r="A243" s="36"/>
      <c r="B243" s="38"/>
      <c r="C243" s="38"/>
      <c r="D243" s="38"/>
      <c r="E243" s="36"/>
      <c r="F243" s="158"/>
      <c r="G243" s="158"/>
      <c r="H243" s="55"/>
    </row>
    <row r="244" spans="1:8" x14ac:dyDescent="0.25">
      <c r="A244" s="78" t="s">
        <v>153</v>
      </c>
      <c r="B244" s="79" t="s">
        <v>1</v>
      </c>
      <c r="C244" s="146" t="s">
        <v>2</v>
      </c>
      <c r="D244" s="47" t="s">
        <v>103</v>
      </c>
      <c r="E244" s="146" t="s">
        <v>4</v>
      </c>
      <c r="F244" s="72" t="s">
        <v>540</v>
      </c>
      <c r="G244" s="63" t="s">
        <v>542</v>
      </c>
      <c r="H244" s="58" t="s">
        <v>7</v>
      </c>
    </row>
    <row r="245" spans="1:8" x14ac:dyDescent="0.25">
      <c r="A245" s="146" t="s">
        <v>8</v>
      </c>
      <c r="B245" s="146" t="s">
        <v>10</v>
      </c>
      <c r="C245" s="146" t="s">
        <v>11</v>
      </c>
      <c r="D245" s="146" t="s">
        <v>12</v>
      </c>
      <c r="E245" s="146" t="s">
        <v>14</v>
      </c>
      <c r="F245" s="159" t="s">
        <v>15</v>
      </c>
      <c r="G245" s="159" t="s">
        <v>16</v>
      </c>
      <c r="H245" s="55"/>
    </row>
    <row r="246" spans="1:8" ht="25.5" x14ac:dyDescent="0.25">
      <c r="A246" s="146"/>
      <c r="B246" s="146" t="s">
        <v>543</v>
      </c>
      <c r="C246" s="43">
        <v>2202000002</v>
      </c>
      <c r="D246" s="80" t="s">
        <v>343</v>
      </c>
      <c r="E246" s="44"/>
      <c r="F246" s="160"/>
      <c r="G246" s="160"/>
      <c r="H246" s="55"/>
    </row>
    <row r="247" spans="1:8" ht="25.5" x14ac:dyDescent="0.25">
      <c r="A247" s="44">
        <v>1</v>
      </c>
      <c r="B247" s="146"/>
      <c r="C247" s="43"/>
      <c r="D247" s="81" t="s">
        <v>254</v>
      </c>
      <c r="E247" s="44">
        <v>70</v>
      </c>
      <c r="F247" s="186">
        <v>3500</v>
      </c>
      <c r="G247" s="186">
        <f>E247*F247</f>
        <v>245000</v>
      </c>
      <c r="H247" s="81" t="s">
        <v>253</v>
      </c>
    </row>
    <row r="248" spans="1:8" x14ac:dyDescent="0.25">
      <c r="A248" s="44">
        <v>2</v>
      </c>
      <c r="B248" s="146"/>
      <c r="C248" s="43"/>
      <c r="D248" s="81" t="s">
        <v>255</v>
      </c>
      <c r="E248" s="44">
        <v>15</v>
      </c>
      <c r="F248" s="186">
        <v>2500</v>
      </c>
      <c r="G248" s="186">
        <f t="shared" ref="G248:G250" si="4">E248*F248</f>
        <v>37500</v>
      </c>
      <c r="H248" s="81" t="s">
        <v>253</v>
      </c>
    </row>
    <row r="249" spans="1:8" x14ac:dyDescent="0.25">
      <c r="A249" s="44">
        <v>3</v>
      </c>
      <c r="B249" s="45"/>
      <c r="C249" s="45"/>
      <c r="D249" s="45" t="s">
        <v>214</v>
      </c>
      <c r="E249" s="44">
        <v>4</v>
      </c>
      <c r="F249" s="186">
        <v>2200</v>
      </c>
      <c r="G249" s="186">
        <f t="shared" si="4"/>
        <v>8800</v>
      </c>
      <c r="H249" s="45" t="s">
        <v>256</v>
      </c>
    </row>
    <row r="250" spans="1:8" x14ac:dyDescent="0.25">
      <c r="A250" s="44">
        <v>4</v>
      </c>
      <c r="B250" s="45"/>
      <c r="C250" s="45"/>
      <c r="D250" s="52" t="s">
        <v>424</v>
      </c>
      <c r="E250" s="44">
        <v>10</v>
      </c>
      <c r="F250" s="186">
        <v>3500</v>
      </c>
      <c r="G250" s="186">
        <f t="shared" si="4"/>
        <v>35000</v>
      </c>
      <c r="H250" s="45" t="s">
        <v>283</v>
      </c>
    </row>
    <row r="251" spans="1:8" x14ac:dyDescent="0.25">
      <c r="A251" s="44">
        <v>5</v>
      </c>
      <c r="B251" s="45"/>
      <c r="C251" s="45"/>
      <c r="D251" s="45" t="s">
        <v>456</v>
      </c>
      <c r="E251" s="44">
        <v>2</v>
      </c>
      <c r="F251" s="186">
        <v>3500</v>
      </c>
      <c r="G251" s="186">
        <f>E251*F251</f>
        <v>7000</v>
      </c>
      <c r="H251" s="52" t="s">
        <v>319</v>
      </c>
    </row>
    <row r="252" spans="1:8" x14ac:dyDescent="0.25">
      <c r="A252" s="44">
        <v>6</v>
      </c>
      <c r="B252" s="45"/>
      <c r="C252" s="45"/>
      <c r="D252" s="52" t="s">
        <v>285</v>
      </c>
      <c r="E252" s="44">
        <v>2</v>
      </c>
      <c r="F252" s="186">
        <v>17000</v>
      </c>
      <c r="G252" s="186">
        <f t="shared" ref="G252:G256" si="5">E252*F252</f>
        <v>34000</v>
      </c>
      <c r="H252" s="45" t="s">
        <v>284</v>
      </c>
    </row>
    <row r="253" spans="1:8" x14ac:dyDescent="0.25">
      <c r="A253" s="44">
        <v>7</v>
      </c>
      <c r="B253" s="74"/>
      <c r="C253" s="92"/>
      <c r="D253" s="52" t="s">
        <v>54</v>
      </c>
      <c r="E253" s="44">
        <v>100</v>
      </c>
      <c r="F253" s="186">
        <v>800</v>
      </c>
      <c r="G253" s="186">
        <f t="shared" si="5"/>
        <v>80000</v>
      </c>
      <c r="H253" s="45" t="s">
        <v>457</v>
      </c>
    </row>
    <row r="254" spans="1:8" x14ac:dyDescent="0.25">
      <c r="A254" s="44">
        <v>8</v>
      </c>
      <c r="B254" s="74"/>
      <c r="C254" s="92"/>
      <c r="D254" s="52" t="s">
        <v>58</v>
      </c>
      <c r="E254" s="44">
        <v>70</v>
      </c>
      <c r="F254" s="186">
        <v>500</v>
      </c>
      <c r="G254" s="186">
        <f t="shared" si="5"/>
        <v>35000</v>
      </c>
      <c r="H254" s="45" t="s">
        <v>457</v>
      </c>
    </row>
    <row r="255" spans="1:8" x14ac:dyDescent="0.25">
      <c r="A255" s="44">
        <v>9</v>
      </c>
      <c r="B255" s="74"/>
      <c r="C255" s="92"/>
      <c r="D255" s="52" t="s">
        <v>422</v>
      </c>
      <c r="E255" s="44">
        <v>1</v>
      </c>
      <c r="F255" s="186">
        <v>4200</v>
      </c>
      <c r="G255" s="186">
        <f t="shared" si="5"/>
        <v>4200</v>
      </c>
      <c r="H255" s="45" t="s">
        <v>283</v>
      </c>
    </row>
    <row r="256" spans="1:8" x14ac:dyDescent="0.25">
      <c r="A256" s="44">
        <v>10</v>
      </c>
      <c r="B256" s="74"/>
      <c r="C256" s="92"/>
      <c r="D256" s="52" t="s">
        <v>423</v>
      </c>
      <c r="E256" s="44">
        <v>10</v>
      </c>
      <c r="F256" s="186">
        <v>150</v>
      </c>
      <c r="G256" s="186">
        <f t="shared" si="5"/>
        <v>1500</v>
      </c>
      <c r="H256" s="45" t="s">
        <v>457</v>
      </c>
    </row>
    <row r="257" spans="1:8" x14ac:dyDescent="0.25">
      <c r="A257" s="44"/>
      <c r="B257" s="218" t="s">
        <v>546</v>
      </c>
      <c r="C257" s="219"/>
      <c r="D257" s="43"/>
      <c r="E257" s="44"/>
      <c r="F257" s="187">
        <f>SUM(F247:F256)</f>
        <v>37850</v>
      </c>
      <c r="G257" s="190"/>
      <c r="H257" s="55"/>
    </row>
    <row r="258" spans="1:8" ht="15.75" x14ac:dyDescent="0.25">
      <c r="A258" s="77"/>
      <c r="B258" s="218" t="s">
        <v>282</v>
      </c>
      <c r="C258" s="219"/>
      <c r="D258" s="77"/>
      <c r="E258" s="77"/>
      <c r="F258" s="162"/>
      <c r="G258" s="191">
        <f>SUM(G247:G257)</f>
        <v>488000</v>
      </c>
      <c r="H258" s="55"/>
    </row>
    <row r="259" spans="1:8" x14ac:dyDescent="0.25">
      <c r="A259" s="6"/>
      <c r="F259" s="157"/>
      <c r="G259" s="157"/>
      <c r="H259" s="154"/>
    </row>
    <row r="260" spans="1:8" x14ac:dyDescent="0.25">
      <c r="A260" s="6"/>
      <c r="F260" s="157"/>
      <c r="G260" s="157"/>
      <c r="H260" s="154"/>
    </row>
    <row r="261" spans="1:8" x14ac:dyDescent="0.25">
      <c r="A261" s="220" t="s">
        <v>583</v>
      </c>
      <c r="B261" s="220"/>
      <c r="C261" s="220"/>
      <c r="D261" s="220"/>
      <c r="E261" s="220"/>
      <c r="F261" s="220"/>
      <c r="G261" s="220"/>
      <c r="H261" s="154"/>
    </row>
    <row r="262" spans="1:8" x14ac:dyDescent="0.25">
      <c r="A262" s="206"/>
      <c r="B262" s="206"/>
      <c r="C262" s="206"/>
      <c r="D262" s="206"/>
      <c r="E262" s="206"/>
      <c r="F262" s="163"/>
      <c r="G262" s="163"/>
      <c r="H262" s="154"/>
    </row>
    <row r="263" spans="1:8" x14ac:dyDescent="0.25">
      <c r="A263" s="205" t="s">
        <v>0</v>
      </c>
      <c r="B263" s="84" t="s">
        <v>1</v>
      </c>
      <c r="C263" s="205" t="s">
        <v>2</v>
      </c>
      <c r="D263" s="77" t="s">
        <v>3</v>
      </c>
      <c r="E263" s="205" t="s">
        <v>4</v>
      </c>
      <c r="F263" s="72" t="s">
        <v>540</v>
      </c>
      <c r="G263" s="63" t="s">
        <v>542</v>
      </c>
      <c r="H263" s="58" t="s">
        <v>541</v>
      </c>
    </row>
    <row r="264" spans="1:8" x14ac:dyDescent="0.25">
      <c r="A264" s="205" t="s">
        <v>8</v>
      </c>
      <c r="B264" s="205" t="s">
        <v>171</v>
      </c>
      <c r="C264" s="205" t="s">
        <v>11</v>
      </c>
      <c r="D264" s="205" t="s">
        <v>172</v>
      </c>
      <c r="E264" s="205" t="s">
        <v>13</v>
      </c>
      <c r="F264" s="159" t="s">
        <v>13</v>
      </c>
      <c r="G264" s="159" t="s">
        <v>14</v>
      </c>
      <c r="H264" s="55"/>
    </row>
    <row r="265" spans="1:8" ht="26.25" x14ac:dyDescent="0.25">
      <c r="A265" s="205"/>
      <c r="B265" s="84" t="s">
        <v>543</v>
      </c>
      <c r="C265" s="84">
        <v>2200600003</v>
      </c>
      <c r="D265" s="83" t="s">
        <v>174</v>
      </c>
      <c r="E265" s="54"/>
      <c r="F265" s="164"/>
      <c r="G265" s="164"/>
      <c r="H265" s="55"/>
    </row>
    <row r="266" spans="1:8" ht="35.25" x14ac:dyDescent="0.25">
      <c r="A266" s="44">
        <v>1</v>
      </c>
      <c r="B266" s="44"/>
      <c r="D266" s="91" t="s">
        <v>568</v>
      </c>
      <c r="E266" s="44">
        <v>15</v>
      </c>
      <c r="F266" s="186">
        <v>4000</v>
      </c>
      <c r="G266" s="186">
        <f>E266*F266</f>
        <v>60000</v>
      </c>
      <c r="H266" s="209" t="s">
        <v>566</v>
      </c>
    </row>
    <row r="267" spans="1:8" x14ac:dyDescent="0.25">
      <c r="A267" s="44">
        <v>2</v>
      </c>
      <c r="B267" s="44"/>
      <c r="C267" s="44"/>
      <c r="D267" s="60" t="s">
        <v>574</v>
      </c>
      <c r="E267" s="44">
        <v>900</v>
      </c>
      <c r="F267" s="186">
        <v>150</v>
      </c>
      <c r="G267" s="186">
        <f t="shared" ref="G267:G303" si="6">E267*F267</f>
        <v>135000</v>
      </c>
      <c r="H267" s="207" t="s">
        <v>573</v>
      </c>
    </row>
    <row r="268" spans="1:8" ht="24" x14ac:dyDescent="0.25">
      <c r="A268" s="44">
        <v>3</v>
      </c>
      <c r="B268" s="44"/>
      <c r="C268" s="44"/>
      <c r="D268" s="91" t="s">
        <v>578</v>
      </c>
      <c r="E268" s="44">
        <v>15</v>
      </c>
      <c r="F268" s="186">
        <v>200</v>
      </c>
      <c r="G268" s="186">
        <f t="shared" si="6"/>
        <v>3000</v>
      </c>
      <c r="H268" s="207" t="s">
        <v>573</v>
      </c>
    </row>
    <row r="269" spans="1:8" ht="24" x14ac:dyDescent="0.25">
      <c r="A269" s="44">
        <v>4</v>
      </c>
      <c r="B269" s="44"/>
      <c r="C269" s="44"/>
      <c r="D269" s="91" t="s">
        <v>404</v>
      </c>
      <c r="E269" s="44">
        <v>800</v>
      </c>
      <c r="F269" s="186">
        <v>200</v>
      </c>
      <c r="G269" s="186">
        <f t="shared" si="6"/>
        <v>160000</v>
      </c>
      <c r="H269" s="55"/>
    </row>
    <row r="270" spans="1:8" ht="24" x14ac:dyDescent="0.25">
      <c r="A270" s="44">
        <v>5</v>
      </c>
      <c r="B270" s="44"/>
      <c r="C270" s="44"/>
      <c r="D270" s="91" t="s">
        <v>405</v>
      </c>
      <c r="E270" s="44">
        <v>800</v>
      </c>
      <c r="F270" s="186">
        <v>200</v>
      </c>
      <c r="G270" s="186">
        <f t="shared" si="6"/>
        <v>160000</v>
      </c>
      <c r="H270" s="55"/>
    </row>
    <row r="271" spans="1:8" x14ac:dyDescent="0.25">
      <c r="A271" s="44">
        <v>6</v>
      </c>
      <c r="B271" s="44"/>
      <c r="C271" s="44"/>
      <c r="D271" s="60" t="s">
        <v>286</v>
      </c>
      <c r="E271" s="44">
        <v>15</v>
      </c>
      <c r="F271" s="186">
        <v>220</v>
      </c>
      <c r="G271" s="186">
        <f t="shared" si="6"/>
        <v>3300</v>
      </c>
      <c r="H271" s="55"/>
    </row>
    <row r="272" spans="1:8" x14ac:dyDescent="0.25">
      <c r="A272" s="44">
        <v>7</v>
      </c>
      <c r="B272" s="44"/>
      <c r="C272" s="44"/>
      <c r="D272" s="91" t="s">
        <v>420</v>
      </c>
      <c r="E272" s="44">
        <v>30</v>
      </c>
      <c r="F272" s="186">
        <v>350</v>
      </c>
      <c r="G272" s="186">
        <f t="shared" si="6"/>
        <v>10500</v>
      </c>
      <c r="H272" s="207" t="s">
        <v>577</v>
      </c>
    </row>
    <row r="273" spans="1:8" x14ac:dyDescent="0.25">
      <c r="A273" s="44">
        <v>8</v>
      </c>
      <c r="B273" s="44"/>
      <c r="C273" s="44"/>
      <c r="D273" s="60" t="s">
        <v>313</v>
      </c>
      <c r="E273" s="44">
        <v>10</v>
      </c>
      <c r="F273" s="186">
        <v>45</v>
      </c>
      <c r="G273" s="186">
        <f t="shared" si="6"/>
        <v>450</v>
      </c>
      <c r="H273" s="55"/>
    </row>
    <row r="274" spans="1:8" x14ac:dyDescent="0.25">
      <c r="A274" s="44">
        <v>9</v>
      </c>
      <c r="B274" s="44"/>
      <c r="C274" s="44"/>
      <c r="D274" s="91" t="s">
        <v>314</v>
      </c>
      <c r="E274" s="44">
        <v>10</v>
      </c>
      <c r="F274" s="186">
        <v>110</v>
      </c>
      <c r="G274" s="186">
        <f t="shared" si="6"/>
        <v>1100</v>
      </c>
      <c r="H274" s="55"/>
    </row>
    <row r="275" spans="1:8" ht="24" x14ac:dyDescent="0.25">
      <c r="A275" s="44">
        <v>10</v>
      </c>
      <c r="B275" s="44"/>
      <c r="C275" s="44"/>
      <c r="D275" s="91" t="s">
        <v>421</v>
      </c>
      <c r="E275" s="44">
        <v>15</v>
      </c>
      <c r="F275" s="186">
        <v>2000</v>
      </c>
      <c r="G275" s="186">
        <f t="shared" si="6"/>
        <v>30000</v>
      </c>
      <c r="H275" s="55"/>
    </row>
    <row r="276" spans="1:8" ht="24" x14ac:dyDescent="0.25">
      <c r="A276" s="44">
        <v>11</v>
      </c>
      <c r="B276" s="44"/>
      <c r="C276" s="44"/>
      <c r="D276" s="91" t="s">
        <v>199</v>
      </c>
      <c r="E276" s="44">
        <v>15</v>
      </c>
      <c r="F276" s="186">
        <v>2000</v>
      </c>
      <c r="G276" s="186">
        <f t="shared" si="6"/>
        <v>30000</v>
      </c>
      <c r="H276" s="55"/>
    </row>
    <row r="277" spans="1:8" x14ac:dyDescent="0.25">
      <c r="A277" s="44">
        <v>12</v>
      </c>
      <c r="B277" s="44"/>
      <c r="C277" s="44"/>
      <c r="D277" s="60" t="s">
        <v>406</v>
      </c>
      <c r="E277" s="44">
        <v>10</v>
      </c>
      <c r="F277" s="186">
        <v>3000</v>
      </c>
      <c r="G277" s="186">
        <f t="shared" si="6"/>
        <v>30000</v>
      </c>
      <c r="H277" s="55"/>
    </row>
    <row r="278" spans="1:8" x14ac:dyDescent="0.25">
      <c r="A278" s="44">
        <v>13</v>
      </c>
      <c r="B278" s="44"/>
      <c r="C278" s="44"/>
      <c r="D278" s="60" t="s">
        <v>407</v>
      </c>
      <c r="E278" s="44">
        <v>2</v>
      </c>
      <c r="F278" s="186">
        <v>10000</v>
      </c>
      <c r="G278" s="186">
        <f t="shared" si="6"/>
        <v>20000</v>
      </c>
      <c r="H278" s="55"/>
    </row>
    <row r="279" spans="1:8" x14ac:dyDescent="0.25">
      <c r="A279" s="44">
        <v>14</v>
      </c>
      <c r="B279" s="44"/>
      <c r="C279" s="44"/>
      <c r="D279" s="60" t="s">
        <v>408</v>
      </c>
      <c r="E279" s="44">
        <v>5</v>
      </c>
      <c r="F279" s="186">
        <v>50</v>
      </c>
      <c r="G279" s="186">
        <f t="shared" si="6"/>
        <v>250</v>
      </c>
      <c r="H279" s="55"/>
    </row>
    <row r="280" spans="1:8" x14ac:dyDescent="0.25">
      <c r="A280" s="44">
        <v>15</v>
      </c>
      <c r="B280" s="44"/>
      <c r="C280" s="44"/>
      <c r="D280" s="60" t="s">
        <v>94</v>
      </c>
      <c r="E280" s="44">
        <v>1</v>
      </c>
      <c r="F280" s="186">
        <v>1200</v>
      </c>
      <c r="G280" s="186">
        <f t="shared" si="6"/>
        <v>1200</v>
      </c>
      <c r="H280" s="55"/>
    </row>
    <row r="281" spans="1:8" x14ac:dyDescent="0.25">
      <c r="A281" s="44">
        <v>16</v>
      </c>
      <c r="B281" s="44"/>
      <c r="C281" s="44"/>
      <c r="D281" s="60" t="s">
        <v>198</v>
      </c>
      <c r="E281" s="44">
        <v>5</v>
      </c>
      <c r="F281" s="186">
        <v>2000</v>
      </c>
      <c r="G281" s="186">
        <f t="shared" si="6"/>
        <v>10000</v>
      </c>
      <c r="H281" s="55"/>
    </row>
    <row r="282" spans="1:8" x14ac:dyDescent="0.25">
      <c r="A282" s="44">
        <v>17</v>
      </c>
      <c r="B282" s="51"/>
      <c r="C282" s="51"/>
      <c r="D282" s="60" t="s">
        <v>409</v>
      </c>
      <c r="E282" s="44">
        <v>15</v>
      </c>
      <c r="F282" s="186">
        <v>200</v>
      </c>
      <c r="G282" s="186">
        <f t="shared" si="6"/>
        <v>3000</v>
      </c>
      <c r="H282" s="55"/>
    </row>
    <row r="283" spans="1:8" ht="35.25" x14ac:dyDescent="0.25">
      <c r="A283" s="44">
        <v>18</v>
      </c>
      <c r="B283" s="44"/>
      <c r="C283" s="44"/>
      <c r="D283" s="91" t="s">
        <v>567</v>
      </c>
      <c r="E283" s="51">
        <v>6</v>
      </c>
      <c r="F283" s="192">
        <v>36000</v>
      </c>
      <c r="G283" s="186">
        <f t="shared" si="6"/>
        <v>216000</v>
      </c>
      <c r="H283" s="207" t="s">
        <v>569</v>
      </c>
    </row>
    <row r="284" spans="1:8" ht="24" x14ac:dyDescent="0.25">
      <c r="A284" s="44">
        <v>19</v>
      </c>
      <c r="B284" s="44"/>
      <c r="C284" s="44"/>
      <c r="D284" s="91" t="s">
        <v>572</v>
      </c>
      <c r="E284" s="51">
        <v>1</v>
      </c>
      <c r="F284" s="192">
        <v>700</v>
      </c>
      <c r="G284" s="186">
        <f t="shared" si="6"/>
        <v>700</v>
      </c>
      <c r="H284" s="207" t="s">
        <v>569</v>
      </c>
    </row>
    <row r="285" spans="1:8" ht="24" x14ac:dyDescent="0.25">
      <c r="A285" s="44">
        <v>20</v>
      </c>
      <c r="B285" s="44"/>
      <c r="C285" s="44"/>
      <c r="D285" s="91" t="s">
        <v>571</v>
      </c>
      <c r="E285" s="51">
        <v>1</v>
      </c>
      <c r="F285" s="192">
        <v>2300</v>
      </c>
      <c r="G285" s="186">
        <f t="shared" si="6"/>
        <v>2300</v>
      </c>
      <c r="H285" s="207" t="s">
        <v>569</v>
      </c>
    </row>
    <row r="286" spans="1:8" x14ac:dyDescent="0.25">
      <c r="A286" s="44">
        <v>21</v>
      </c>
      <c r="B286" s="44"/>
      <c r="C286" s="44"/>
      <c r="D286" s="60" t="s">
        <v>410</v>
      </c>
      <c r="E286" s="44">
        <v>50</v>
      </c>
      <c r="F286" s="186">
        <v>700</v>
      </c>
      <c r="G286" s="186">
        <f t="shared" si="6"/>
        <v>35000</v>
      </c>
      <c r="H286" s="207"/>
    </row>
    <row r="287" spans="1:8" x14ac:dyDescent="0.25">
      <c r="A287" s="44">
        <v>22</v>
      </c>
      <c r="B287" s="44"/>
      <c r="C287" s="44"/>
      <c r="D287" s="60" t="s">
        <v>183</v>
      </c>
      <c r="E287" s="44">
        <v>3</v>
      </c>
      <c r="F287" s="186">
        <v>500</v>
      </c>
      <c r="G287" s="186">
        <f t="shared" si="6"/>
        <v>1500</v>
      </c>
      <c r="H287" s="207"/>
    </row>
    <row r="288" spans="1:8" x14ac:dyDescent="0.25">
      <c r="A288" s="44">
        <v>23</v>
      </c>
      <c r="B288" s="44"/>
      <c r="C288" s="44"/>
      <c r="D288" s="60" t="s">
        <v>184</v>
      </c>
      <c r="E288" s="44">
        <v>3</v>
      </c>
      <c r="F288" s="186">
        <v>300</v>
      </c>
      <c r="G288" s="186">
        <f t="shared" si="6"/>
        <v>900</v>
      </c>
      <c r="H288" s="207"/>
    </row>
    <row r="289" spans="1:8" x14ac:dyDescent="0.25">
      <c r="A289" s="44">
        <v>24</v>
      </c>
      <c r="B289" s="44"/>
      <c r="C289" s="44"/>
      <c r="D289" s="60" t="s">
        <v>411</v>
      </c>
      <c r="E289" s="44">
        <v>3</v>
      </c>
      <c r="F289" s="186">
        <v>300</v>
      </c>
      <c r="G289" s="186">
        <f t="shared" si="6"/>
        <v>900</v>
      </c>
      <c r="H289" s="207"/>
    </row>
    <row r="290" spans="1:8" ht="24" x14ac:dyDescent="0.25">
      <c r="A290" s="44">
        <v>25</v>
      </c>
      <c r="B290" s="44"/>
      <c r="C290" s="44"/>
      <c r="D290" s="91" t="s">
        <v>185</v>
      </c>
      <c r="E290" s="44">
        <v>3</v>
      </c>
      <c r="F290" s="186">
        <v>570</v>
      </c>
      <c r="G290" s="186">
        <f t="shared" si="6"/>
        <v>1710</v>
      </c>
      <c r="H290" s="207"/>
    </row>
    <row r="291" spans="1:8" x14ac:dyDescent="0.25">
      <c r="A291" s="44">
        <v>26</v>
      </c>
      <c r="B291" s="44"/>
      <c r="C291" s="44"/>
      <c r="D291" s="60" t="s">
        <v>186</v>
      </c>
      <c r="E291" s="44">
        <v>3</v>
      </c>
      <c r="F291" s="186">
        <v>450</v>
      </c>
      <c r="G291" s="186">
        <f t="shared" si="6"/>
        <v>1350</v>
      </c>
      <c r="H291" s="207"/>
    </row>
    <row r="292" spans="1:8" x14ac:dyDescent="0.25">
      <c r="A292" s="44">
        <v>27</v>
      </c>
      <c r="B292" s="44"/>
      <c r="C292" s="44"/>
      <c r="D292" s="60" t="s">
        <v>415</v>
      </c>
      <c r="E292" s="44">
        <v>800</v>
      </c>
      <c r="F292" s="186">
        <v>2000</v>
      </c>
      <c r="G292" s="186">
        <f t="shared" si="6"/>
        <v>1600000</v>
      </c>
      <c r="H292" s="207" t="s">
        <v>570</v>
      </c>
    </row>
    <row r="293" spans="1:8" x14ac:dyDescent="0.25">
      <c r="A293" s="44">
        <v>28</v>
      </c>
      <c r="B293" s="44"/>
      <c r="C293" s="44"/>
      <c r="D293" s="60" t="s">
        <v>412</v>
      </c>
      <c r="E293" s="44">
        <v>3</v>
      </c>
      <c r="F293" s="186">
        <v>430</v>
      </c>
      <c r="G293" s="186">
        <f t="shared" si="6"/>
        <v>1290</v>
      </c>
      <c r="H293" s="55"/>
    </row>
    <row r="294" spans="1:8" x14ac:dyDescent="0.25">
      <c r="A294" s="44">
        <v>29</v>
      </c>
      <c r="B294" s="44"/>
      <c r="C294" s="44"/>
      <c r="D294" s="60" t="s">
        <v>200</v>
      </c>
      <c r="E294" s="44">
        <v>1</v>
      </c>
      <c r="F294" s="186">
        <v>1400</v>
      </c>
      <c r="G294" s="186">
        <f t="shared" si="6"/>
        <v>1400</v>
      </c>
      <c r="H294" s="55"/>
    </row>
    <row r="295" spans="1:8" x14ac:dyDescent="0.25">
      <c r="A295" s="44">
        <v>30</v>
      </c>
      <c r="B295" s="44"/>
      <c r="C295" s="44"/>
      <c r="D295" s="60" t="s">
        <v>414</v>
      </c>
      <c r="E295" s="44">
        <v>1</v>
      </c>
      <c r="F295" s="186">
        <v>1400</v>
      </c>
      <c r="G295" s="186">
        <f t="shared" si="6"/>
        <v>1400</v>
      </c>
      <c r="H295" s="55"/>
    </row>
    <row r="296" spans="1:8" x14ac:dyDescent="0.25">
      <c r="A296" s="44">
        <v>31</v>
      </c>
      <c r="B296" s="44"/>
      <c r="C296" s="44"/>
      <c r="D296" s="60" t="s">
        <v>201</v>
      </c>
      <c r="E296" s="44">
        <v>1</v>
      </c>
      <c r="F296" s="186">
        <v>1000</v>
      </c>
      <c r="G296" s="186">
        <f t="shared" si="6"/>
        <v>1000</v>
      </c>
      <c r="H296" s="55"/>
    </row>
    <row r="297" spans="1:8" x14ac:dyDescent="0.25">
      <c r="A297" s="44">
        <v>32</v>
      </c>
      <c r="B297" s="44"/>
      <c r="C297" s="44"/>
      <c r="D297" s="60" t="s">
        <v>413</v>
      </c>
      <c r="E297" s="44">
        <v>1</v>
      </c>
      <c r="F297" s="186">
        <v>1400</v>
      </c>
      <c r="G297" s="186">
        <f t="shared" si="6"/>
        <v>1400</v>
      </c>
      <c r="H297" s="55"/>
    </row>
    <row r="298" spans="1:8" ht="30" x14ac:dyDescent="0.25">
      <c r="A298" s="44">
        <v>33</v>
      </c>
      <c r="B298" s="44"/>
      <c r="C298" s="44"/>
      <c r="D298" s="91" t="s">
        <v>575</v>
      </c>
      <c r="E298" s="44">
        <v>2</v>
      </c>
      <c r="F298" s="186">
        <v>5500</v>
      </c>
      <c r="G298" s="186">
        <f t="shared" si="6"/>
        <v>11000</v>
      </c>
      <c r="H298" s="208" t="s">
        <v>576</v>
      </c>
    </row>
    <row r="299" spans="1:8" x14ac:dyDescent="0.25">
      <c r="A299" s="44">
        <v>34</v>
      </c>
      <c r="B299" s="44"/>
      <c r="C299" s="44"/>
      <c r="D299" s="60" t="s">
        <v>318</v>
      </c>
      <c r="E299" s="44">
        <v>10</v>
      </c>
      <c r="F299" s="186">
        <v>1000</v>
      </c>
      <c r="G299" s="186">
        <f t="shared" si="6"/>
        <v>10000</v>
      </c>
      <c r="H299" s="55"/>
    </row>
    <row r="300" spans="1:8" x14ac:dyDescent="0.25">
      <c r="A300" s="44">
        <v>35</v>
      </c>
      <c r="B300" s="44"/>
      <c r="C300" s="44"/>
      <c r="D300" s="60" t="s">
        <v>416</v>
      </c>
      <c r="E300" s="44">
        <v>1</v>
      </c>
      <c r="F300" s="186">
        <v>2000</v>
      </c>
      <c r="G300" s="186">
        <f t="shared" si="6"/>
        <v>2000</v>
      </c>
      <c r="H300" s="55"/>
    </row>
    <row r="301" spans="1:8" ht="24" x14ac:dyDescent="0.25">
      <c r="A301" s="44">
        <v>36</v>
      </c>
      <c r="B301" s="100"/>
      <c r="C301" s="44"/>
      <c r="D301" s="91" t="s">
        <v>417</v>
      </c>
      <c r="E301" s="44">
        <v>2</v>
      </c>
      <c r="F301" s="186">
        <v>700</v>
      </c>
      <c r="G301" s="186">
        <f t="shared" si="6"/>
        <v>1400</v>
      </c>
      <c r="H301" s="55"/>
    </row>
    <row r="302" spans="1:8" ht="24" x14ac:dyDescent="0.25">
      <c r="A302" s="44">
        <v>37</v>
      </c>
      <c r="B302" s="100"/>
      <c r="C302" s="44"/>
      <c r="D302" s="91" t="s">
        <v>418</v>
      </c>
      <c r="E302" s="44">
        <v>2</v>
      </c>
      <c r="F302" s="186">
        <v>600</v>
      </c>
      <c r="G302" s="186">
        <f t="shared" si="6"/>
        <v>1200</v>
      </c>
      <c r="H302" s="55"/>
    </row>
    <row r="303" spans="1:8" x14ac:dyDescent="0.25">
      <c r="A303" s="44">
        <v>38</v>
      </c>
      <c r="B303" s="100"/>
      <c r="C303" s="44"/>
      <c r="D303" s="60" t="s">
        <v>419</v>
      </c>
      <c r="E303" s="44">
        <v>2</v>
      </c>
      <c r="F303" s="186">
        <v>2000</v>
      </c>
      <c r="G303" s="186">
        <f t="shared" si="6"/>
        <v>4000</v>
      </c>
      <c r="H303" s="55"/>
    </row>
    <row r="304" spans="1:8" ht="15.75" x14ac:dyDescent="0.25">
      <c r="A304" s="11"/>
      <c r="B304" s="225" t="s">
        <v>546</v>
      </c>
      <c r="C304" s="226"/>
      <c r="D304" s="2"/>
      <c r="E304" s="11"/>
      <c r="F304" s="188">
        <f>SUM(F266:F303)</f>
        <v>87175</v>
      </c>
      <c r="G304" s="188"/>
      <c r="H304" s="55"/>
    </row>
    <row r="305" spans="1:8" ht="15.75" x14ac:dyDescent="0.25">
      <c r="A305" s="11"/>
      <c r="B305" s="225" t="s">
        <v>282</v>
      </c>
      <c r="C305" s="226"/>
      <c r="D305" s="2"/>
      <c r="E305" s="11"/>
      <c r="F305" s="215"/>
      <c r="G305" s="188">
        <f>SUM(G266:G304)</f>
        <v>2554250</v>
      </c>
      <c r="H305" s="55"/>
    </row>
    <row r="306" spans="1:8" x14ac:dyDescent="0.25">
      <c r="A306" s="56"/>
      <c r="B306" s="167"/>
      <c r="C306" s="56"/>
      <c r="D306" s="57"/>
      <c r="E306" s="56"/>
      <c r="F306" s="165"/>
      <c r="G306" s="166"/>
      <c r="H306" s="154"/>
    </row>
    <row r="307" spans="1:8" x14ac:dyDescent="0.25">
      <c r="A307" s="56"/>
      <c r="B307" s="167"/>
      <c r="C307" s="56"/>
      <c r="D307" s="57"/>
      <c r="E307" s="56"/>
      <c r="F307" s="165"/>
      <c r="G307" s="166"/>
      <c r="H307" s="154"/>
    </row>
    <row r="308" spans="1:8" x14ac:dyDescent="0.25">
      <c r="A308" s="56"/>
      <c r="B308" s="76"/>
      <c r="C308" s="56"/>
      <c r="D308" s="57"/>
      <c r="E308" s="56"/>
      <c r="F308" s="165"/>
      <c r="G308" s="166"/>
      <c r="H308" s="154"/>
    </row>
    <row r="309" spans="1:8" x14ac:dyDescent="0.25">
      <c r="A309" s="220" t="s">
        <v>584</v>
      </c>
      <c r="B309" s="220"/>
      <c r="C309" s="220"/>
      <c r="D309" s="220"/>
      <c r="E309" s="220"/>
      <c r="F309" s="220"/>
      <c r="G309" s="220"/>
      <c r="H309" s="154"/>
    </row>
    <row r="310" spans="1:8" x14ac:dyDescent="0.25">
      <c r="A310" s="36"/>
      <c r="B310" s="38"/>
      <c r="C310" s="38"/>
      <c r="D310" s="38"/>
      <c r="E310" s="36"/>
      <c r="F310" s="158"/>
      <c r="G310" s="158"/>
      <c r="H310" s="154"/>
    </row>
    <row r="311" spans="1:8" x14ac:dyDescent="0.25">
      <c r="A311" s="78" t="s">
        <v>153</v>
      </c>
      <c r="B311" s="79" t="s">
        <v>1</v>
      </c>
      <c r="C311" s="146" t="s">
        <v>2</v>
      </c>
      <c r="D311" s="47" t="s">
        <v>103</v>
      </c>
      <c r="E311" s="146" t="s">
        <v>4</v>
      </c>
      <c r="F311" s="72" t="s">
        <v>540</v>
      </c>
      <c r="G311" s="63" t="s">
        <v>542</v>
      </c>
      <c r="H311" s="58" t="s">
        <v>7</v>
      </c>
    </row>
    <row r="312" spans="1:8" x14ac:dyDescent="0.25">
      <c r="A312" s="146" t="s">
        <v>8</v>
      </c>
      <c r="B312" s="146" t="s">
        <v>10</v>
      </c>
      <c r="C312" s="146" t="s">
        <v>11</v>
      </c>
      <c r="D312" s="146" t="s">
        <v>12</v>
      </c>
      <c r="E312" s="146" t="s">
        <v>14</v>
      </c>
      <c r="F312" s="159" t="s">
        <v>15</v>
      </c>
      <c r="G312" s="159" t="s">
        <v>16</v>
      </c>
      <c r="H312" s="55"/>
    </row>
    <row r="313" spans="1:8" ht="38.25" x14ac:dyDescent="0.25">
      <c r="A313" s="146"/>
      <c r="B313" s="146" t="s">
        <v>543</v>
      </c>
      <c r="C313" s="43">
        <v>2202000004</v>
      </c>
      <c r="D313" s="80" t="s">
        <v>345</v>
      </c>
      <c r="E313" s="44"/>
      <c r="F313" s="160"/>
      <c r="G313" s="160"/>
      <c r="H313" s="55"/>
    </row>
    <row r="314" spans="1:8" ht="25.5" x14ac:dyDescent="0.25">
      <c r="A314" s="44">
        <v>1</v>
      </c>
      <c r="B314" s="146"/>
      <c r="C314" s="43"/>
      <c r="D314" s="81" t="s">
        <v>344</v>
      </c>
      <c r="E314" s="44">
        <v>1</v>
      </c>
      <c r="F314" s="186">
        <v>10000</v>
      </c>
      <c r="G314" s="186">
        <f>E314*F314</f>
        <v>10000</v>
      </c>
      <c r="H314" s="55"/>
    </row>
    <row r="315" spans="1:8" x14ac:dyDescent="0.25">
      <c r="A315" s="44">
        <v>2</v>
      </c>
      <c r="B315" s="48"/>
      <c r="C315" s="103"/>
      <c r="D315" s="81" t="s">
        <v>455</v>
      </c>
      <c r="E315" s="44">
        <v>1</v>
      </c>
      <c r="F315" s="186">
        <v>5000</v>
      </c>
      <c r="G315" s="186">
        <f>E315*F315</f>
        <v>5000</v>
      </c>
      <c r="H315" s="55"/>
    </row>
    <row r="316" spans="1:8" x14ac:dyDescent="0.25">
      <c r="A316" s="44"/>
      <c r="B316" s="218" t="s">
        <v>546</v>
      </c>
      <c r="C316" s="219"/>
      <c r="D316" s="43"/>
      <c r="E316" s="44"/>
      <c r="F316" s="187">
        <f>SUM(F314:F315)</f>
        <v>15000</v>
      </c>
      <c r="G316" s="190"/>
      <c r="H316" s="55"/>
    </row>
    <row r="317" spans="1:8" ht="15.75" x14ac:dyDescent="0.25">
      <c r="A317" s="77"/>
      <c r="B317" s="218" t="s">
        <v>282</v>
      </c>
      <c r="C317" s="219"/>
      <c r="D317" s="77"/>
      <c r="E317" s="77"/>
      <c r="F317" s="77"/>
      <c r="G317" s="191">
        <f>SUM(G314:G316)</f>
        <v>15000</v>
      </c>
      <c r="H317" s="55"/>
    </row>
    <row r="318" spans="1:8" x14ac:dyDescent="0.25">
      <c r="A318" s="6"/>
      <c r="H318" s="154"/>
    </row>
    <row r="319" spans="1:8" x14ac:dyDescent="0.25">
      <c r="A319" s="229" t="s">
        <v>586</v>
      </c>
      <c r="B319" s="229"/>
      <c r="C319" s="229"/>
      <c r="D319" s="229"/>
      <c r="E319" s="229"/>
      <c r="F319" s="229"/>
      <c r="G319" s="157"/>
      <c r="H319" s="154"/>
    </row>
    <row r="320" spans="1:8" x14ac:dyDescent="0.25">
      <c r="A320" s="147"/>
      <c r="B320" s="147"/>
      <c r="F320" s="157"/>
      <c r="G320" s="157"/>
      <c r="H320" s="154"/>
    </row>
    <row r="321" spans="1:8" x14ac:dyDescent="0.25">
      <c r="A321" s="149" t="s">
        <v>0</v>
      </c>
      <c r="B321" s="149" t="s">
        <v>1</v>
      </c>
      <c r="C321" s="150" t="s">
        <v>2</v>
      </c>
      <c r="D321" s="150" t="s">
        <v>100</v>
      </c>
      <c r="E321" s="150" t="s">
        <v>4</v>
      </c>
      <c r="F321" s="72" t="s">
        <v>540</v>
      </c>
      <c r="G321" s="63" t="s">
        <v>542</v>
      </c>
      <c r="H321" s="58" t="s">
        <v>541</v>
      </c>
    </row>
    <row r="322" spans="1:8" x14ac:dyDescent="0.25">
      <c r="A322" s="151" t="s">
        <v>8</v>
      </c>
      <c r="B322" s="151" t="s">
        <v>106</v>
      </c>
      <c r="C322" s="152" t="s">
        <v>11</v>
      </c>
      <c r="D322" s="153" t="s">
        <v>196</v>
      </c>
      <c r="E322" s="152" t="s">
        <v>14</v>
      </c>
      <c r="F322" s="168" t="s">
        <v>15</v>
      </c>
      <c r="G322" s="168" t="s">
        <v>16</v>
      </c>
      <c r="H322" s="55"/>
    </row>
    <row r="323" spans="1:8" ht="21" x14ac:dyDescent="0.25">
      <c r="A323" s="150"/>
      <c r="B323" s="150" t="s">
        <v>543</v>
      </c>
      <c r="C323" s="177">
        <v>3112210001</v>
      </c>
      <c r="D323" s="149" t="s">
        <v>238</v>
      </c>
      <c r="E323" s="148"/>
      <c r="F323" s="169"/>
      <c r="G323" s="169"/>
      <c r="H323" s="55"/>
    </row>
    <row r="324" spans="1:8" ht="22.5" x14ac:dyDescent="0.25">
      <c r="A324" s="84"/>
      <c r="B324" s="84"/>
      <c r="C324" s="178"/>
      <c r="D324" s="179" t="s">
        <v>239</v>
      </c>
      <c r="E324" s="86"/>
      <c r="F324" s="170"/>
      <c r="G324" s="170"/>
      <c r="H324" s="55"/>
    </row>
    <row r="325" spans="1:8" x14ac:dyDescent="0.25">
      <c r="A325" s="86">
        <v>1</v>
      </c>
      <c r="B325" s="41"/>
      <c r="C325" s="41"/>
      <c r="D325" s="85" t="s">
        <v>352</v>
      </c>
      <c r="E325" s="86">
        <v>500</v>
      </c>
      <c r="F325" s="194">
        <v>2000</v>
      </c>
      <c r="G325" s="194">
        <f>E325*F325</f>
        <v>1000000</v>
      </c>
      <c r="H325" s="82" t="s">
        <v>240</v>
      </c>
    </row>
    <row r="326" spans="1:8" x14ac:dyDescent="0.25">
      <c r="A326" s="86">
        <v>2</v>
      </c>
      <c r="B326" s="41"/>
      <c r="C326" s="41"/>
      <c r="D326" s="85" t="s">
        <v>354</v>
      </c>
      <c r="E326" s="86">
        <v>300</v>
      </c>
      <c r="F326" s="194">
        <v>2500</v>
      </c>
      <c r="G326" s="194">
        <f t="shared" ref="G326:G395" si="7">E326*F326</f>
        <v>750000</v>
      </c>
      <c r="H326" s="55"/>
    </row>
    <row r="327" spans="1:8" x14ac:dyDescent="0.25">
      <c r="A327" s="86">
        <v>3</v>
      </c>
      <c r="B327" s="41"/>
      <c r="C327" s="41"/>
      <c r="D327" s="85" t="s">
        <v>353</v>
      </c>
      <c r="E327" s="86">
        <v>250</v>
      </c>
      <c r="F327" s="194">
        <v>1600</v>
      </c>
      <c r="G327" s="194">
        <f t="shared" si="7"/>
        <v>400000</v>
      </c>
      <c r="H327" s="55"/>
    </row>
    <row r="328" spans="1:8" x14ac:dyDescent="0.25">
      <c r="A328" s="86">
        <v>4</v>
      </c>
      <c r="B328" s="41"/>
      <c r="C328" s="41"/>
      <c r="D328" s="87" t="s">
        <v>357</v>
      </c>
      <c r="E328" s="86">
        <v>5</v>
      </c>
      <c r="F328" s="194">
        <v>5300</v>
      </c>
      <c r="G328" s="194">
        <f t="shared" si="7"/>
        <v>26500</v>
      </c>
      <c r="H328" s="55"/>
    </row>
    <row r="329" spans="1:8" x14ac:dyDescent="0.25">
      <c r="A329" s="86">
        <v>5</v>
      </c>
      <c r="B329" s="41"/>
      <c r="C329" s="41"/>
      <c r="D329" s="87" t="s">
        <v>355</v>
      </c>
      <c r="E329" s="86">
        <v>100</v>
      </c>
      <c r="F329" s="194">
        <v>2500</v>
      </c>
      <c r="G329" s="194">
        <f t="shared" si="7"/>
        <v>250000</v>
      </c>
      <c r="H329" s="55"/>
    </row>
    <row r="330" spans="1:8" x14ac:dyDescent="0.25">
      <c r="A330" s="86">
        <v>6</v>
      </c>
      <c r="B330" s="41"/>
      <c r="C330" s="41"/>
      <c r="D330" s="88" t="s">
        <v>287</v>
      </c>
      <c r="E330" s="86">
        <v>5</v>
      </c>
      <c r="F330" s="194">
        <v>1000</v>
      </c>
      <c r="G330" s="194">
        <f t="shared" si="7"/>
        <v>5000</v>
      </c>
      <c r="H330" s="55"/>
    </row>
    <row r="331" spans="1:8" x14ac:dyDescent="0.25">
      <c r="A331" s="86">
        <v>7</v>
      </c>
      <c r="B331" s="41"/>
      <c r="C331" s="41"/>
      <c r="D331" s="87" t="s">
        <v>288</v>
      </c>
      <c r="E331" s="86">
        <v>10</v>
      </c>
      <c r="F331" s="194">
        <v>700</v>
      </c>
      <c r="G331" s="194">
        <f t="shared" si="7"/>
        <v>7000</v>
      </c>
      <c r="H331" s="55"/>
    </row>
    <row r="332" spans="1:8" x14ac:dyDescent="0.25">
      <c r="A332" s="86">
        <v>8</v>
      </c>
      <c r="B332" s="41"/>
      <c r="C332" s="41"/>
      <c r="D332" s="87" t="s">
        <v>289</v>
      </c>
      <c r="E332" s="86">
        <v>5</v>
      </c>
      <c r="F332" s="194">
        <v>1000</v>
      </c>
      <c r="G332" s="194">
        <f t="shared" si="7"/>
        <v>5000</v>
      </c>
      <c r="H332" s="55"/>
    </row>
    <row r="333" spans="1:8" ht="22.5" x14ac:dyDescent="0.25">
      <c r="A333" s="86">
        <v>9</v>
      </c>
      <c r="B333" s="41"/>
      <c r="C333" s="41"/>
      <c r="D333" s="88" t="s">
        <v>290</v>
      </c>
      <c r="E333" s="86">
        <v>2</v>
      </c>
      <c r="F333" s="194">
        <v>3500</v>
      </c>
      <c r="G333" s="194">
        <f t="shared" si="7"/>
        <v>7000</v>
      </c>
      <c r="H333" s="55"/>
    </row>
    <row r="334" spans="1:8" ht="22.5" x14ac:dyDescent="0.25">
      <c r="A334" s="86">
        <v>10</v>
      </c>
      <c r="B334" s="41"/>
      <c r="C334" s="41"/>
      <c r="D334" s="88" t="s">
        <v>291</v>
      </c>
      <c r="E334" s="86">
        <v>5</v>
      </c>
      <c r="F334" s="194">
        <v>1500</v>
      </c>
      <c r="G334" s="194">
        <f t="shared" si="7"/>
        <v>7500</v>
      </c>
      <c r="H334" s="55"/>
    </row>
    <row r="335" spans="1:8" x14ac:dyDescent="0.25">
      <c r="A335" s="86">
        <v>11</v>
      </c>
      <c r="B335" s="85"/>
      <c r="C335" s="85"/>
      <c r="D335" s="85" t="s">
        <v>359</v>
      </c>
      <c r="E335" s="86">
        <v>50</v>
      </c>
      <c r="F335" s="194">
        <v>800</v>
      </c>
      <c r="G335" s="194">
        <f t="shared" si="7"/>
        <v>40000</v>
      </c>
      <c r="H335" s="55"/>
    </row>
    <row r="336" spans="1:8" x14ac:dyDescent="0.25">
      <c r="A336" s="86">
        <v>12</v>
      </c>
      <c r="B336" s="85"/>
      <c r="C336" s="85"/>
      <c r="D336" s="85" t="s">
        <v>358</v>
      </c>
      <c r="E336" s="86">
        <v>30</v>
      </c>
      <c r="F336" s="194">
        <v>2500</v>
      </c>
      <c r="G336" s="194">
        <f t="shared" si="7"/>
        <v>75000</v>
      </c>
      <c r="H336" s="55"/>
    </row>
    <row r="337" spans="1:8" x14ac:dyDescent="0.25">
      <c r="A337" s="86">
        <v>13</v>
      </c>
      <c r="B337" s="85"/>
      <c r="C337" s="85"/>
      <c r="D337" s="85" t="s">
        <v>187</v>
      </c>
      <c r="E337" s="86">
        <v>13</v>
      </c>
      <c r="F337" s="194">
        <v>80</v>
      </c>
      <c r="G337" s="194">
        <f t="shared" si="7"/>
        <v>1040</v>
      </c>
      <c r="H337" s="55"/>
    </row>
    <row r="338" spans="1:8" x14ac:dyDescent="0.25">
      <c r="A338" s="86">
        <v>14</v>
      </c>
      <c r="B338" s="85"/>
      <c r="C338" s="85"/>
      <c r="D338" s="85" t="s">
        <v>52</v>
      </c>
      <c r="E338" s="86">
        <v>30</v>
      </c>
      <c r="F338" s="194">
        <v>800</v>
      </c>
      <c r="G338" s="194">
        <f t="shared" si="7"/>
        <v>24000</v>
      </c>
      <c r="H338" s="55"/>
    </row>
    <row r="339" spans="1:8" x14ac:dyDescent="0.25">
      <c r="A339" s="86">
        <v>15</v>
      </c>
      <c r="B339" s="85"/>
      <c r="C339" s="85"/>
      <c r="D339" s="85" t="s">
        <v>366</v>
      </c>
      <c r="E339" s="86">
        <v>400</v>
      </c>
      <c r="F339" s="194">
        <v>150</v>
      </c>
      <c r="G339" s="194">
        <f t="shared" si="7"/>
        <v>60000</v>
      </c>
      <c r="H339" s="55"/>
    </row>
    <row r="340" spans="1:8" x14ac:dyDescent="0.25">
      <c r="A340" s="86">
        <v>16</v>
      </c>
      <c r="B340" s="85"/>
      <c r="C340" s="85"/>
      <c r="D340" s="85" t="s">
        <v>53</v>
      </c>
      <c r="E340" s="86">
        <v>50</v>
      </c>
      <c r="F340" s="194">
        <v>500</v>
      </c>
      <c r="G340" s="194">
        <f t="shared" si="7"/>
        <v>25000</v>
      </c>
      <c r="H340" s="55"/>
    </row>
    <row r="341" spans="1:8" x14ac:dyDescent="0.25">
      <c r="A341" s="86">
        <v>17</v>
      </c>
      <c r="B341" s="85"/>
      <c r="C341" s="85"/>
      <c r="D341" s="85" t="s">
        <v>362</v>
      </c>
      <c r="E341" s="86">
        <v>5</v>
      </c>
      <c r="F341" s="194">
        <v>2500</v>
      </c>
      <c r="G341" s="194">
        <f t="shared" si="7"/>
        <v>12500</v>
      </c>
      <c r="H341" s="55"/>
    </row>
    <row r="342" spans="1:8" x14ac:dyDescent="0.25">
      <c r="A342" s="86">
        <v>18</v>
      </c>
      <c r="B342" s="85"/>
      <c r="C342" s="85"/>
      <c r="D342" s="85" t="s">
        <v>356</v>
      </c>
      <c r="E342" s="86">
        <v>50</v>
      </c>
      <c r="F342" s="194">
        <v>4000</v>
      </c>
      <c r="G342" s="194">
        <f t="shared" si="7"/>
        <v>200000</v>
      </c>
      <c r="H342" s="55"/>
    </row>
    <row r="343" spans="1:8" x14ac:dyDescent="0.25">
      <c r="A343" s="86">
        <v>19</v>
      </c>
      <c r="B343" s="85"/>
      <c r="C343" s="85"/>
      <c r="D343" s="85" t="s">
        <v>188</v>
      </c>
      <c r="E343" s="86">
        <v>5</v>
      </c>
      <c r="F343" s="194">
        <v>6500</v>
      </c>
      <c r="G343" s="194">
        <f t="shared" si="7"/>
        <v>32500</v>
      </c>
      <c r="H343" s="55"/>
    </row>
    <row r="344" spans="1:8" x14ac:dyDescent="0.25">
      <c r="A344" s="86">
        <v>20</v>
      </c>
      <c r="B344" s="85"/>
      <c r="C344" s="85"/>
      <c r="D344" s="85" t="s">
        <v>554</v>
      </c>
      <c r="E344" s="86">
        <v>2</v>
      </c>
      <c r="F344" s="194">
        <v>15000</v>
      </c>
      <c r="G344" s="194">
        <f t="shared" si="7"/>
        <v>30000</v>
      </c>
      <c r="H344" s="207" t="s">
        <v>555</v>
      </c>
    </row>
    <row r="345" spans="1:8" x14ac:dyDescent="0.25">
      <c r="A345" s="86">
        <v>21</v>
      </c>
      <c r="B345" s="85"/>
      <c r="C345" s="85"/>
      <c r="D345" s="85" t="s">
        <v>560</v>
      </c>
      <c r="E345" s="86">
        <v>20</v>
      </c>
      <c r="F345" s="194">
        <v>2000</v>
      </c>
      <c r="G345" s="194">
        <f t="shared" si="7"/>
        <v>40000</v>
      </c>
      <c r="H345" s="207" t="s">
        <v>563</v>
      </c>
    </row>
    <row r="346" spans="1:8" x14ac:dyDescent="0.25">
      <c r="A346" s="86">
        <v>22</v>
      </c>
      <c r="B346" s="85"/>
      <c r="C346" s="85"/>
      <c r="D346" s="85" t="s">
        <v>561</v>
      </c>
      <c r="E346" s="86">
        <v>20</v>
      </c>
      <c r="F346" s="194">
        <v>3000</v>
      </c>
      <c r="G346" s="194">
        <f t="shared" si="7"/>
        <v>60000</v>
      </c>
      <c r="H346" s="207" t="s">
        <v>562</v>
      </c>
    </row>
    <row r="347" spans="1:8" x14ac:dyDescent="0.25">
      <c r="A347" s="86">
        <v>23</v>
      </c>
      <c r="B347" s="85"/>
      <c r="C347" s="85"/>
      <c r="D347" s="85" t="s">
        <v>564</v>
      </c>
      <c r="E347" s="86">
        <v>17</v>
      </c>
      <c r="F347" s="194">
        <v>3000</v>
      </c>
      <c r="G347" s="194">
        <f t="shared" si="7"/>
        <v>51000</v>
      </c>
      <c r="H347" s="207" t="s">
        <v>565</v>
      </c>
    </row>
    <row r="348" spans="1:8" x14ac:dyDescent="0.25">
      <c r="A348" s="86">
        <v>24</v>
      </c>
      <c r="B348" s="85"/>
      <c r="C348" s="85"/>
      <c r="D348" s="85" t="s">
        <v>57</v>
      </c>
      <c r="E348" s="86">
        <v>150</v>
      </c>
      <c r="F348" s="194">
        <v>50</v>
      </c>
      <c r="G348" s="194">
        <f t="shared" si="7"/>
        <v>7500</v>
      </c>
      <c r="H348" s="55"/>
    </row>
    <row r="349" spans="1:8" ht="22.5" x14ac:dyDescent="0.25">
      <c r="A349" s="86">
        <v>25</v>
      </c>
      <c r="B349" s="85"/>
      <c r="C349" s="85"/>
      <c r="D349" s="94" t="s">
        <v>194</v>
      </c>
      <c r="E349" s="86">
        <v>150</v>
      </c>
      <c r="F349" s="194">
        <v>50</v>
      </c>
      <c r="G349" s="194">
        <f t="shared" si="7"/>
        <v>7500</v>
      </c>
      <c r="H349" s="55"/>
    </row>
    <row r="350" spans="1:8" x14ac:dyDescent="0.25">
      <c r="A350" s="86">
        <v>26</v>
      </c>
      <c r="B350" s="85"/>
      <c r="C350" s="89"/>
      <c r="D350" s="93" t="s">
        <v>202</v>
      </c>
      <c r="E350" s="86">
        <v>5</v>
      </c>
      <c r="F350" s="194">
        <v>5000</v>
      </c>
      <c r="G350" s="194">
        <f t="shared" si="7"/>
        <v>25000</v>
      </c>
      <c r="H350" s="82" t="s">
        <v>241</v>
      </c>
    </row>
    <row r="351" spans="1:8" x14ac:dyDescent="0.25">
      <c r="A351" s="86">
        <v>27</v>
      </c>
      <c r="B351" s="85"/>
      <c r="C351" s="89"/>
      <c r="D351" s="85" t="s">
        <v>203</v>
      </c>
      <c r="E351" s="86">
        <v>5</v>
      </c>
      <c r="F351" s="194">
        <v>1200</v>
      </c>
      <c r="G351" s="194">
        <f t="shared" si="7"/>
        <v>6000</v>
      </c>
      <c r="H351" s="55"/>
    </row>
    <row r="352" spans="1:8" x14ac:dyDescent="0.25">
      <c r="A352" s="86">
        <v>28</v>
      </c>
      <c r="B352" s="85"/>
      <c r="C352" s="89"/>
      <c r="D352" s="90" t="s">
        <v>204</v>
      </c>
      <c r="E352" s="86">
        <v>10</v>
      </c>
      <c r="F352" s="194">
        <v>1300</v>
      </c>
      <c r="G352" s="194">
        <f t="shared" si="7"/>
        <v>13000</v>
      </c>
      <c r="H352" s="55"/>
    </row>
    <row r="353" spans="1:8" x14ac:dyDescent="0.25">
      <c r="A353" s="86">
        <v>29</v>
      </c>
      <c r="B353" s="85"/>
      <c r="C353" s="85"/>
      <c r="D353" s="85" t="s">
        <v>374</v>
      </c>
      <c r="E353" s="86">
        <v>120</v>
      </c>
      <c r="F353" s="194">
        <v>1200</v>
      </c>
      <c r="G353" s="194">
        <f t="shared" si="7"/>
        <v>144000</v>
      </c>
      <c r="H353" s="55"/>
    </row>
    <row r="354" spans="1:8" x14ac:dyDescent="0.25">
      <c r="A354" s="86">
        <v>30</v>
      </c>
      <c r="B354" s="85"/>
      <c r="C354" s="85"/>
      <c r="D354" s="85" t="s">
        <v>197</v>
      </c>
      <c r="E354" s="86">
        <v>50</v>
      </c>
      <c r="F354" s="194">
        <v>600</v>
      </c>
      <c r="G354" s="194">
        <f t="shared" si="7"/>
        <v>30000</v>
      </c>
      <c r="H354" s="55"/>
    </row>
    <row r="355" spans="1:8" ht="30" x14ac:dyDescent="0.25">
      <c r="A355" s="86">
        <v>31</v>
      </c>
      <c r="B355" s="85"/>
      <c r="C355" s="89"/>
      <c r="D355" s="87" t="s">
        <v>557</v>
      </c>
      <c r="E355" s="86">
        <v>2</v>
      </c>
      <c r="F355" s="194">
        <v>2000</v>
      </c>
      <c r="G355" s="194">
        <f t="shared" si="7"/>
        <v>4000</v>
      </c>
      <c r="H355" s="208" t="s">
        <v>556</v>
      </c>
    </row>
    <row r="356" spans="1:8" ht="30" x14ac:dyDescent="0.25">
      <c r="A356" s="86">
        <v>32</v>
      </c>
      <c r="B356" s="85"/>
      <c r="C356" s="89"/>
      <c r="D356" s="94" t="s">
        <v>559</v>
      </c>
      <c r="E356" s="86">
        <v>2</v>
      </c>
      <c r="F356" s="194">
        <v>10000</v>
      </c>
      <c r="G356" s="194">
        <f t="shared" si="7"/>
        <v>20000</v>
      </c>
      <c r="H356" s="208" t="s">
        <v>558</v>
      </c>
    </row>
    <row r="357" spans="1:8" x14ac:dyDescent="0.25">
      <c r="A357" s="86">
        <v>34</v>
      </c>
      <c r="B357" s="85"/>
      <c r="C357" s="89"/>
      <c r="D357" s="87" t="s">
        <v>312</v>
      </c>
      <c r="E357" s="86">
        <v>20</v>
      </c>
      <c r="F357" s="194">
        <v>1140</v>
      </c>
      <c r="G357" s="194">
        <f t="shared" si="7"/>
        <v>22800</v>
      </c>
      <c r="H357" s="55"/>
    </row>
    <row r="358" spans="1:8" ht="22.5" x14ac:dyDescent="0.25">
      <c r="A358" s="86">
        <v>35</v>
      </c>
      <c r="B358" s="85"/>
      <c r="C358" s="89"/>
      <c r="D358" s="88" t="s">
        <v>311</v>
      </c>
      <c r="E358" s="86">
        <v>50</v>
      </c>
      <c r="F358" s="194">
        <v>430</v>
      </c>
      <c r="G358" s="194">
        <f t="shared" si="7"/>
        <v>21500</v>
      </c>
      <c r="H358" s="55"/>
    </row>
    <row r="359" spans="1:8" x14ac:dyDescent="0.25">
      <c r="A359" s="86">
        <v>36</v>
      </c>
      <c r="B359" s="85"/>
      <c r="C359" s="89"/>
      <c r="D359" s="87" t="s">
        <v>360</v>
      </c>
      <c r="E359" s="86">
        <v>20</v>
      </c>
      <c r="F359" s="194">
        <v>350</v>
      </c>
      <c r="G359" s="194">
        <f t="shared" si="7"/>
        <v>7000</v>
      </c>
      <c r="H359" s="55"/>
    </row>
    <row r="360" spans="1:8" x14ac:dyDescent="0.25">
      <c r="A360" s="86">
        <v>36</v>
      </c>
      <c r="B360" s="85"/>
      <c r="C360" s="89"/>
      <c r="D360" s="87" t="s">
        <v>361</v>
      </c>
      <c r="E360" s="86">
        <v>20</v>
      </c>
      <c r="F360" s="194">
        <v>350</v>
      </c>
      <c r="G360" s="194">
        <f t="shared" si="7"/>
        <v>7000</v>
      </c>
      <c r="H360" s="55"/>
    </row>
    <row r="361" spans="1:8" x14ac:dyDescent="0.25">
      <c r="A361" s="86">
        <v>37</v>
      </c>
      <c r="B361" s="85"/>
      <c r="C361" s="89"/>
      <c r="D361" s="87" t="s">
        <v>323</v>
      </c>
      <c r="E361" s="86">
        <v>10</v>
      </c>
      <c r="F361" s="194">
        <v>1150</v>
      </c>
      <c r="G361" s="194">
        <f t="shared" si="7"/>
        <v>11500</v>
      </c>
      <c r="H361" s="55"/>
    </row>
    <row r="362" spans="1:8" x14ac:dyDescent="0.25">
      <c r="A362" s="86">
        <v>38</v>
      </c>
      <c r="B362" s="85"/>
      <c r="C362" s="89"/>
      <c r="D362" s="87" t="s">
        <v>292</v>
      </c>
      <c r="E362" s="86">
        <v>10</v>
      </c>
      <c r="F362" s="194">
        <v>70</v>
      </c>
      <c r="G362" s="194">
        <f t="shared" si="7"/>
        <v>700</v>
      </c>
      <c r="H362" s="55"/>
    </row>
    <row r="363" spans="1:8" x14ac:dyDescent="0.25">
      <c r="A363" s="86">
        <v>39</v>
      </c>
      <c r="B363" s="85"/>
      <c r="C363" s="89"/>
      <c r="D363" s="85" t="s">
        <v>195</v>
      </c>
      <c r="E363" s="86">
        <v>50</v>
      </c>
      <c r="F363" s="194">
        <v>250</v>
      </c>
      <c r="G363" s="194">
        <f t="shared" si="7"/>
        <v>12500</v>
      </c>
      <c r="H363" s="55"/>
    </row>
    <row r="364" spans="1:8" x14ac:dyDescent="0.25">
      <c r="A364" s="86">
        <v>40</v>
      </c>
      <c r="B364" s="85"/>
      <c r="C364" s="85"/>
      <c r="D364" s="85" t="s">
        <v>56</v>
      </c>
      <c r="E364" s="86">
        <v>10000</v>
      </c>
      <c r="F364" s="194">
        <v>5</v>
      </c>
      <c r="G364" s="194">
        <f t="shared" si="7"/>
        <v>50000</v>
      </c>
      <c r="H364" s="55"/>
    </row>
    <row r="365" spans="1:8" ht="22.5" x14ac:dyDescent="0.25">
      <c r="A365" s="86">
        <v>41</v>
      </c>
      <c r="B365" s="85"/>
      <c r="C365" s="85"/>
      <c r="D365" s="98" t="s">
        <v>242</v>
      </c>
      <c r="E365" s="86">
        <v>10000</v>
      </c>
      <c r="F365" s="194">
        <v>5</v>
      </c>
      <c r="G365" s="194">
        <f t="shared" si="7"/>
        <v>50000</v>
      </c>
      <c r="H365" s="55"/>
    </row>
    <row r="366" spans="1:8" x14ac:dyDescent="0.25">
      <c r="A366" s="86">
        <v>42</v>
      </c>
      <c r="B366" s="85"/>
      <c r="C366" s="85"/>
      <c r="D366" s="85" t="s">
        <v>193</v>
      </c>
      <c r="E366" s="86">
        <v>10000</v>
      </c>
      <c r="F366" s="194">
        <v>5</v>
      </c>
      <c r="G366" s="194">
        <f t="shared" si="7"/>
        <v>50000</v>
      </c>
      <c r="H366" s="55"/>
    </row>
    <row r="367" spans="1:8" x14ac:dyDescent="0.25">
      <c r="A367" s="86">
        <v>43</v>
      </c>
      <c r="B367" s="85"/>
      <c r="C367" s="85"/>
      <c r="D367" s="85" t="s">
        <v>189</v>
      </c>
      <c r="E367" s="86">
        <v>1000</v>
      </c>
      <c r="F367" s="194">
        <v>100</v>
      </c>
      <c r="G367" s="194">
        <f t="shared" si="7"/>
        <v>100000</v>
      </c>
      <c r="H367" s="55"/>
    </row>
    <row r="368" spans="1:8" x14ac:dyDescent="0.25">
      <c r="A368" s="86">
        <v>44</v>
      </c>
      <c r="B368" s="85"/>
      <c r="C368" s="85"/>
      <c r="D368" s="85" t="s">
        <v>243</v>
      </c>
      <c r="E368" s="86">
        <v>1000</v>
      </c>
      <c r="F368" s="194">
        <v>100</v>
      </c>
      <c r="G368" s="194">
        <f t="shared" si="7"/>
        <v>100000</v>
      </c>
      <c r="H368" s="55"/>
    </row>
    <row r="369" spans="1:8" x14ac:dyDescent="0.25">
      <c r="A369" s="86">
        <v>45</v>
      </c>
      <c r="B369" s="85"/>
      <c r="C369" s="85"/>
      <c r="D369" s="85" t="s">
        <v>190</v>
      </c>
      <c r="E369" s="86">
        <v>10</v>
      </c>
      <c r="F369" s="194">
        <v>250</v>
      </c>
      <c r="G369" s="194">
        <f t="shared" si="7"/>
        <v>2500</v>
      </c>
      <c r="H369" s="55"/>
    </row>
    <row r="370" spans="1:8" x14ac:dyDescent="0.25">
      <c r="A370" s="86">
        <v>46</v>
      </c>
      <c r="B370" s="85"/>
      <c r="C370" s="85"/>
      <c r="D370" s="85" t="s">
        <v>191</v>
      </c>
      <c r="E370" s="86">
        <v>25</v>
      </c>
      <c r="F370" s="194">
        <v>250</v>
      </c>
      <c r="G370" s="194">
        <f t="shared" si="7"/>
        <v>6250</v>
      </c>
      <c r="H370" s="55"/>
    </row>
    <row r="371" spans="1:8" x14ac:dyDescent="0.25">
      <c r="A371" s="86">
        <v>47</v>
      </c>
      <c r="B371" s="85"/>
      <c r="C371" s="85"/>
      <c r="D371" s="85" t="s">
        <v>400</v>
      </c>
      <c r="E371" s="86">
        <v>200</v>
      </c>
      <c r="F371" s="194">
        <v>150</v>
      </c>
      <c r="G371" s="194">
        <f t="shared" si="7"/>
        <v>30000</v>
      </c>
      <c r="H371" s="55"/>
    </row>
    <row r="372" spans="1:8" x14ac:dyDescent="0.25">
      <c r="A372" s="86">
        <v>48</v>
      </c>
      <c r="B372" s="85"/>
      <c r="C372" s="85"/>
      <c r="D372" s="85" t="s">
        <v>401</v>
      </c>
      <c r="E372" s="86">
        <v>200</v>
      </c>
      <c r="F372" s="194">
        <v>150</v>
      </c>
      <c r="G372" s="194">
        <f t="shared" si="7"/>
        <v>30000</v>
      </c>
      <c r="H372" s="55"/>
    </row>
    <row r="373" spans="1:8" x14ac:dyDescent="0.25">
      <c r="A373" s="86">
        <v>49</v>
      </c>
      <c r="B373" s="85"/>
      <c r="C373" s="85"/>
      <c r="D373" s="85" t="s">
        <v>402</v>
      </c>
      <c r="E373" s="86">
        <v>100</v>
      </c>
      <c r="F373" s="194">
        <v>350</v>
      </c>
      <c r="G373" s="194">
        <f t="shared" si="7"/>
        <v>35000</v>
      </c>
      <c r="H373" s="55"/>
    </row>
    <row r="374" spans="1:8" x14ac:dyDescent="0.25">
      <c r="A374" s="86">
        <v>50</v>
      </c>
      <c r="B374" s="85"/>
      <c r="C374" s="85"/>
      <c r="D374" s="85" t="s">
        <v>403</v>
      </c>
      <c r="E374" s="86">
        <v>100</v>
      </c>
      <c r="F374" s="194">
        <v>350</v>
      </c>
      <c r="G374" s="194">
        <f t="shared" si="7"/>
        <v>35000</v>
      </c>
      <c r="H374" s="55"/>
    </row>
    <row r="375" spans="1:8" x14ac:dyDescent="0.25">
      <c r="A375" s="86">
        <v>51</v>
      </c>
      <c r="B375" s="85"/>
      <c r="C375" s="85"/>
      <c r="D375" s="85" t="s">
        <v>363</v>
      </c>
      <c r="E375" s="86">
        <v>10</v>
      </c>
      <c r="F375" s="194">
        <v>50</v>
      </c>
      <c r="G375" s="194">
        <f t="shared" si="7"/>
        <v>500</v>
      </c>
      <c r="H375" s="55"/>
    </row>
    <row r="376" spans="1:8" x14ac:dyDescent="0.25">
      <c r="A376" s="86">
        <v>52</v>
      </c>
      <c r="B376" s="85"/>
      <c r="C376" s="85"/>
      <c r="D376" s="85" t="s">
        <v>434</v>
      </c>
      <c r="E376" s="86">
        <v>1</v>
      </c>
      <c r="F376" s="194">
        <v>1500</v>
      </c>
      <c r="G376" s="194">
        <f t="shared" si="7"/>
        <v>1500</v>
      </c>
      <c r="H376" s="55"/>
    </row>
    <row r="377" spans="1:8" x14ac:dyDescent="0.25">
      <c r="A377" s="86">
        <v>53</v>
      </c>
      <c r="B377" s="85"/>
      <c r="C377" s="85"/>
      <c r="D377" s="85" t="s">
        <v>364</v>
      </c>
      <c r="E377" s="86">
        <v>2</v>
      </c>
      <c r="F377" s="194">
        <v>1400</v>
      </c>
      <c r="G377" s="194">
        <f t="shared" si="7"/>
        <v>2800</v>
      </c>
      <c r="H377" s="55"/>
    </row>
    <row r="378" spans="1:8" x14ac:dyDescent="0.25">
      <c r="A378" s="86">
        <v>54</v>
      </c>
      <c r="B378" s="85"/>
      <c r="C378" s="85"/>
      <c r="D378" s="85" t="s">
        <v>365</v>
      </c>
      <c r="E378" s="86">
        <v>200</v>
      </c>
      <c r="F378" s="194">
        <v>10</v>
      </c>
      <c r="G378" s="194">
        <f t="shared" si="7"/>
        <v>2000</v>
      </c>
      <c r="H378" s="55"/>
    </row>
    <row r="379" spans="1:8" x14ac:dyDescent="0.25">
      <c r="A379" s="86">
        <v>55</v>
      </c>
      <c r="B379" s="85"/>
      <c r="C379" s="85"/>
      <c r="D379" s="85" t="s">
        <v>192</v>
      </c>
      <c r="E379" s="86">
        <v>4000</v>
      </c>
      <c r="F379" s="194">
        <v>20</v>
      </c>
      <c r="G379" s="194">
        <f t="shared" si="7"/>
        <v>80000</v>
      </c>
      <c r="H379" s="55"/>
    </row>
    <row r="380" spans="1:8" x14ac:dyDescent="0.25">
      <c r="A380" s="86">
        <v>56</v>
      </c>
      <c r="B380" s="85"/>
      <c r="C380" s="85"/>
      <c r="D380" s="85" t="s">
        <v>350</v>
      </c>
      <c r="E380" s="86">
        <v>1000</v>
      </c>
      <c r="F380" s="194">
        <v>7</v>
      </c>
      <c r="G380" s="194">
        <f t="shared" si="7"/>
        <v>7000</v>
      </c>
      <c r="H380" s="55"/>
    </row>
    <row r="381" spans="1:8" x14ac:dyDescent="0.25">
      <c r="A381" s="86">
        <v>57</v>
      </c>
      <c r="B381" s="85"/>
      <c r="C381" s="85"/>
      <c r="D381" s="99" t="s">
        <v>378</v>
      </c>
      <c r="E381" s="86">
        <v>12</v>
      </c>
      <c r="F381" s="194">
        <v>700</v>
      </c>
      <c r="G381" s="194">
        <f t="shared" si="7"/>
        <v>8400</v>
      </c>
      <c r="H381" s="55"/>
    </row>
    <row r="382" spans="1:8" x14ac:dyDescent="0.25">
      <c r="A382" s="86">
        <v>58</v>
      </c>
      <c r="B382" s="85"/>
      <c r="C382" s="85"/>
      <c r="D382" s="87" t="s">
        <v>375</v>
      </c>
      <c r="E382" s="86">
        <v>100</v>
      </c>
      <c r="F382" s="194">
        <v>7</v>
      </c>
      <c r="G382" s="194">
        <f t="shared" si="7"/>
        <v>700</v>
      </c>
      <c r="H382" s="55"/>
    </row>
    <row r="383" spans="1:8" x14ac:dyDescent="0.25">
      <c r="A383" s="86">
        <v>59</v>
      </c>
      <c r="B383" s="85"/>
      <c r="C383" s="85"/>
      <c r="D383" s="87" t="s">
        <v>376</v>
      </c>
      <c r="E383" s="86">
        <v>100</v>
      </c>
      <c r="F383" s="194">
        <v>7</v>
      </c>
      <c r="G383" s="194">
        <f t="shared" si="7"/>
        <v>700</v>
      </c>
      <c r="H383" s="55"/>
    </row>
    <row r="384" spans="1:8" x14ac:dyDescent="0.25">
      <c r="A384" s="86">
        <v>60</v>
      </c>
      <c r="B384" s="85"/>
      <c r="C384" s="85"/>
      <c r="D384" s="87" t="s">
        <v>377</v>
      </c>
      <c r="E384" s="86">
        <v>100</v>
      </c>
      <c r="F384" s="194">
        <v>7</v>
      </c>
      <c r="G384" s="194">
        <f t="shared" si="7"/>
        <v>700</v>
      </c>
      <c r="H384" s="55"/>
    </row>
    <row r="385" spans="1:8" x14ac:dyDescent="0.25">
      <c r="A385" s="86">
        <v>61</v>
      </c>
      <c r="B385" s="85"/>
      <c r="C385" s="85"/>
      <c r="D385" s="87" t="s">
        <v>379</v>
      </c>
      <c r="E385" s="86">
        <v>1000</v>
      </c>
      <c r="F385" s="194">
        <v>7</v>
      </c>
      <c r="G385" s="194">
        <f t="shared" si="7"/>
        <v>7000</v>
      </c>
      <c r="H385" s="55"/>
    </row>
    <row r="386" spans="1:8" x14ac:dyDescent="0.25">
      <c r="A386" s="86">
        <v>62</v>
      </c>
      <c r="B386" s="85"/>
      <c r="C386" s="85"/>
      <c r="D386" s="85" t="s">
        <v>380</v>
      </c>
      <c r="E386" s="86">
        <v>30</v>
      </c>
      <c r="F386" s="194">
        <v>50</v>
      </c>
      <c r="G386" s="194">
        <f t="shared" si="7"/>
        <v>1500</v>
      </c>
      <c r="H386" s="55"/>
    </row>
    <row r="387" spans="1:8" x14ac:dyDescent="0.25">
      <c r="A387" s="86">
        <v>63</v>
      </c>
      <c r="B387" s="85"/>
      <c r="C387" s="85"/>
      <c r="D387" s="87" t="s">
        <v>381</v>
      </c>
      <c r="E387" s="86">
        <v>30</v>
      </c>
      <c r="F387" s="194">
        <v>50</v>
      </c>
      <c r="G387" s="194">
        <f t="shared" si="7"/>
        <v>1500</v>
      </c>
      <c r="H387" s="55"/>
    </row>
    <row r="388" spans="1:8" x14ac:dyDescent="0.25">
      <c r="A388" s="86">
        <v>64</v>
      </c>
      <c r="B388" s="85"/>
      <c r="C388" s="85"/>
      <c r="D388" s="87" t="s">
        <v>382</v>
      </c>
      <c r="E388" s="86">
        <v>30</v>
      </c>
      <c r="F388" s="194">
        <v>50</v>
      </c>
      <c r="G388" s="194">
        <f t="shared" si="7"/>
        <v>1500</v>
      </c>
      <c r="H388" s="55"/>
    </row>
    <row r="389" spans="1:8" x14ac:dyDescent="0.25">
      <c r="A389" s="86">
        <v>65</v>
      </c>
      <c r="B389" s="85"/>
      <c r="C389" s="85"/>
      <c r="D389" s="87" t="s">
        <v>383</v>
      </c>
      <c r="E389" s="86">
        <v>30</v>
      </c>
      <c r="F389" s="194">
        <v>50</v>
      </c>
      <c r="G389" s="194">
        <f t="shared" si="7"/>
        <v>1500</v>
      </c>
      <c r="H389" s="55"/>
    </row>
    <row r="390" spans="1:8" x14ac:dyDescent="0.25">
      <c r="A390" s="86">
        <v>67</v>
      </c>
      <c r="B390" s="85"/>
      <c r="C390" s="85"/>
      <c r="D390" s="87" t="s">
        <v>384</v>
      </c>
      <c r="E390" s="86">
        <v>30</v>
      </c>
      <c r="F390" s="194">
        <v>50</v>
      </c>
      <c r="G390" s="194">
        <f t="shared" si="7"/>
        <v>1500</v>
      </c>
      <c r="H390" s="55"/>
    </row>
    <row r="391" spans="1:8" x14ac:dyDescent="0.25">
      <c r="A391" s="86">
        <v>68</v>
      </c>
      <c r="B391" s="85"/>
      <c r="C391" s="85"/>
      <c r="D391" s="85" t="s">
        <v>385</v>
      </c>
      <c r="E391" s="86">
        <v>30</v>
      </c>
      <c r="F391" s="194">
        <v>50</v>
      </c>
      <c r="G391" s="194">
        <f t="shared" si="7"/>
        <v>1500</v>
      </c>
      <c r="H391" s="55"/>
    </row>
    <row r="392" spans="1:8" x14ac:dyDescent="0.25">
      <c r="A392" s="86">
        <v>69</v>
      </c>
      <c r="B392" s="85"/>
      <c r="C392" s="85"/>
      <c r="D392" s="87" t="s">
        <v>386</v>
      </c>
      <c r="E392" s="86">
        <v>30</v>
      </c>
      <c r="F392" s="194">
        <v>140</v>
      </c>
      <c r="G392" s="194">
        <f t="shared" si="7"/>
        <v>4200</v>
      </c>
      <c r="H392" s="55"/>
    </row>
    <row r="393" spans="1:8" x14ac:dyDescent="0.25">
      <c r="A393" s="86">
        <v>70</v>
      </c>
      <c r="B393" s="85"/>
      <c r="C393" s="85"/>
      <c r="D393" s="85" t="s">
        <v>387</v>
      </c>
      <c r="E393" s="86">
        <v>30</v>
      </c>
      <c r="F393" s="194">
        <v>100</v>
      </c>
      <c r="G393" s="194">
        <f t="shared" si="7"/>
        <v>3000</v>
      </c>
      <c r="H393" s="55"/>
    </row>
    <row r="394" spans="1:8" x14ac:dyDescent="0.25">
      <c r="A394" s="86">
        <v>71</v>
      </c>
      <c r="B394" s="85"/>
      <c r="C394" s="85"/>
      <c r="D394" s="85" t="s">
        <v>388</v>
      </c>
      <c r="E394" s="86">
        <v>50</v>
      </c>
      <c r="F394" s="194">
        <v>70</v>
      </c>
      <c r="G394" s="194">
        <f t="shared" si="7"/>
        <v>3500</v>
      </c>
      <c r="H394" s="55"/>
    </row>
    <row r="395" spans="1:8" x14ac:dyDescent="0.25">
      <c r="A395" s="86">
        <v>72</v>
      </c>
      <c r="B395" s="85"/>
      <c r="C395" s="85"/>
      <c r="D395" s="87" t="s">
        <v>389</v>
      </c>
      <c r="E395" s="86">
        <v>5</v>
      </c>
      <c r="F395" s="194">
        <v>430</v>
      </c>
      <c r="G395" s="194">
        <f t="shared" si="7"/>
        <v>2150</v>
      </c>
      <c r="H395" s="55"/>
    </row>
    <row r="396" spans="1:8" x14ac:dyDescent="0.25">
      <c r="A396" s="86">
        <v>73</v>
      </c>
      <c r="B396" s="85"/>
      <c r="C396" s="85"/>
      <c r="D396" s="87" t="s">
        <v>390</v>
      </c>
      <c r="E396" s="86">
        <v>5</v>
      </c>
      <c r="F396" s="194">
        <v>1450</v>
      </c>
      <c r="G396" s="194">
        <f t="shared" ref="G396:G430" si="8">E396*F396</f>
        <v>7250</v>
      </c>
      <c r="H396" s="55"/>
    </row>
    <row r="397" spans="1:8" x14ac:dyDescent="0.25">
      <c r="A397" s="86">
        <v>74</v>
      </c>
      <c r="B397" s="85"/>
      <c r="C397" s="85"/>
      <c r="D397" s="87" t="s">
        <v>391</v>
      </c>
      <c r="E397" s="86">
        <v>30</v>
      </c>
      <c r="F397" s="194">
        <v>40</v>
      </c>
      <c r="G397" s="194">
        <f t="shared" si="8"/>
        <v>1200</v>
      </c>
      <c r="H397" s="55"/>
    </row>
    <row r="398" spans="1:8" x14ac:dyDescent="0.25">
      <c r="A398" s="86">
        <v>75</v>
      </c>
      <c r="B398" s="85"/>
      <c r="C398" s="85"/>
      <c r="D398" s="87" t="s">
        <v>392</v>
      </c>
      <c r="E398" s="86">
        <v>5</v>
      </c>
      <c r="F398" s="194">
        <v>170</v>
      </c>
      <c r="G398" s="194">
        <f t="shared" si="8"/>
        <v>850</v>
      </c>
      <c r="H398" s="55"/>
    </row>
    <row r="399" spans="1:8" x14ac:dyDescent="0.25">
      <c r="A399" s="86">
        <v>76</v>
      </c>
      <c r="B399" s="85"/>
      <c r="C399" s="85"/>
      <c r="D399" s="85" t="s">
        <v>393</v>
      </c>
      <c r="E399" s="86">
        <v>1</v>
      </c>
      <c r="F399" s="194">
        <v>3200</v>
      </c>
      <c r="G399" s="194">
        <f t="shared" si="8"/>
        <v>3200</v>
      </c>
      <c r="H399" s="55"/>
    </row>
    <row r="400" spans="1:8" x14ac:dyDescent="0.25">
      <c r="A400" s="86">
        <v>77</v>
      </c>
      <c r="B400" s="85"/>
      <c r="C400" s="85"/>
      <c r="D400" s="87" t="s">
        <v>395</v>
      </c>
      <c r="E400" s="86">
        <v>30</v>
      </c>
      <c r="F400" s="194">
        <v>430</v>
      </c>
      <c r="G400" s="194">
        <f t="shared" si="8"/>
        <v>12900</v>
      </c>
      <c r="H400" s="55"/>
    </row>
    <row r="401" spans="1:8" x14ac:dyDescent="0.25">
      <c r="A401" s="86">
        <v>78</v>
      </c>
      <c r="B401" s="85"/>
      <c r="C401" s="85"/>
      <c r="D401" s="85" t="s">
        <v>394</v>
      </c>
      <c r="E401" s="86">
        <v>60</v>
      </c>
      <c r="F401" s="194">
        <v>30</v>
      </c>
      <c r="G401" s="194">
        <f t="shared" si="8"/>
        <v>1800</v>
      </c>
      <c r="H401" s="55"/>
    </row>
    <row r="402" spans="1:8" x14ac:dyDescent="0.25">
      <c r="A402" s="86">
        <v>79</v>
      </c>
      <c r="B402" s="85"/>
      <c r="C402" s="85"/>
      <c r="D402" s="87" t="s">
        <v>396</v>
      </c>
      <c r="E402" s="86">
        <v>3</v>
      </c>
      <c r="F402" s="194">
        <v>150</v>
      </c>
      <c r="G402" s="194">
        <f t="shared" si="8"/>
        <v>450</v>
      </c>
      <c r="H402" s="55"/>
    </row>
    <row r="403" spans="1:8" x14ac:dyDescent="0.25">
      <c r="A403" s="86">
        <v>80</v>
      </c>
      <c r="B403" s="85"/>
      <c r="C403" s="85"/>
      <c r="D403" s="85" t="s">
        <v>397</v>
      </c>
      <c r="E403" s="86">
        <v>1000</v>
      </c>
      <c r="F403" s="194">
        <v>10</v>
      </c>
      <c r="G403" s="194">
        <f t="shared" si="8"/>
        <v>10000</v>
      </c>
      <c r="H403" s="55"/>
    </row>
    <row r="404" spans="1:8" x14ac:dyDescent="0.25">
      <c r="A404" s="86">
        <v>81</v>
      </c>
      <c r="B404" s="85"/>
      <c r="C404" s="85"/>
      <c r="D404" s="87" t="s">
        <v>433</v>
      </c>
      <c r="E404" s="86">
        <v>2</v>
      </c>
      <c r="F404" s="194">
        <v>300</v>
      </c>
      <c r="G404" s="194">
        <f t="shared" si="8"/>
        <v>600</v>
      </c>
      <c r="H404" s="55"/>
    </row>
    <row r="405" spans="1:8" x14ac:dyDescent="0.25">
      <c r="A405" s="86">
        <v>82</v>
      </c>
      <c r="B405" s="85"/>
      <c r="C405" s="85"/>
      <c r="D405" s="87" t="s">
        <v>431</v>
      </c>
      <c r="E405" s="86">
        <v>2</v>
      </c>
      <c r="F405" s="194">
        <v>10</v>
      </c>
      <c r="G405" s="194">
        <f t="shared" si="8"/>
        <v>20</v>
      </c>
      <c r="H405" s="55"/>
    </row>
    <row r="406" spans="1:8" x14ac:dyDescent="0.25">
      <c r="A406" s="86">
        <v>83</v>
      </c>
      <c r="B406" s="85"/>
      <c r="C406" s="85"/>
      <c r="D406" s="87" t="s">
        <v>430</v>
      </c>
      <c r="E406" s="86">
        <v>2</v>
      </c>
      <c r="F406" s="194">
        <v>10</v>
      </c>
      <c r="G406" s="194">
        <f t="shared" si="8"/>
        <v>20</v>
      </c>
      <c r="H406" s="55"/>
    </row>
    <row r="407" spans="1:8" x14ac:dyDescent="0.25">
      <c r="A407" s="86">
        <v>84</v>
      </c>
      <c r="B407" s="85"/>
      <c r="C407" s="85"/>
      <c r="D407" s="87" t="s">
        <v>432</v>
      </c>
      <c r="E407" s="86">
        <v>2</v>
      </c>
      <c r="F407" s="194">
        <v>10</v>
      </c>
      <c r="G407" s="194">
        <f t="shared" si="8"/>
        <v>20</v>
      </c>
      <c r="H407" s="55"/>
    </row>
    <row r="408" spans="1:8" x14ac:dyDescent="0.25">
      <c r="A408" s="86">
        <v>85</v>
      </c>
      <c r="B408" s="41"/>
      <c r="C408" s="41"/>
      <c r="D408" s="87" t="s">
        <v>367</v>
      </c>
      <c r="E408" s="86">
        <v>2</v>
      </c>
      <c r="F408" s="194">
        <v>95000</v>
      </c>
      <c r="G408" s="194">
        <f t="shared" si="8"/>
        <v>190000</v>
      </c>
      <c r="H408" s="204" t="s">
        <v>284</v>
      </c>
    </row>
    <row r="409" spans="1:8" x14ac:dyDescent="0.25">
      <c r="A409" s="86">
        <v>86</v>
      </c>
      <c r="B409" s="41"/>
      <c r="C409" s="41"/>
      <c r="D409" s="88" t="s">
        <v>368</v>
      </c>
      <c r="E409" s="86">
        <v>6</v>
      </c>
      <c r="F409" s="194">
        <v>430</v>
      </c>
      <c r="G409" s="194">
        <f t="shared" si="8"/>
        <v>2580</v>
      </c>
      <c r="H409" s="55"/>
    </row>
    <row r="410" spans="1:8" x14ac:dyDescent="0.25">
      <c r="A410" s="86">
        <v>87</v>
      </c>
      <c r="B410" s="41"/>
      <c r="C410" s="41"/>
      <c r="D410" s="87" t="s">
        <v>369</v>
      </c>
      <c r="E410" s="86">
        <v>2</v>
      </c>
      <c r="F410" s="194">
        <v>5500</v>
      </c>
      <c r="G410" s="194">
        <f t="shared" si="8"/>
        <v>11000</v>
      </c>
      <c r="H410" s="55"/>
    </row>
    <row r="411" spans="1:8" x14ac:dyDescent="0.25">
      <c r="A411" s="86">
        <v>88</v>
      </c>
      <c r="B411" s="41"/>
      <c r="C411" s="41"/>
      <c r="D411" s="87" t="s">
        <v>370</v>
      </c>
      <c r="E411" s="86">
        <v>2</v>
      </c>
      <c r="F411" s="194">
        <v>4500</v>
      </c>
      <c r="G411" s="194">
        <f t="shared" si="8"/>
        <v>9000</v>
      </c>
      <c r="H411" s="55"/>
    </row>
    <row r="412" spans="1:8" x14ac:dyDescent="0.25">
      <c r="A412" s="86">
        <v>89</v>
      </c>
      <c r="B412" s="41"/>
      <c r="C412" s="41"/>
      <c r="D412" s="87" t="s">
        <v>371</v>
      </c>
      <c r="E412" s="86">
        <v>2</v>
      </c>
      <c r="F412" s="194">
        <v>4000</v>
      </c>
      <c r="G412" s="194">
        <f t="shared" si="8"/>
        <v>8000</v>
      </c>
      <c r="H412" s="55"/>
    </row>
    <row r="413" spans="1:8" x14ac:dyDescent="0.25">
      <c r="A413" s="86">
        <v>90</v>
      </c>
      <c r="B413" s="41"/>
      <c r="C413" s="41"/>
      <c r="D413" s="87" t="s">
        <v>372</v>
      </c>
      <c r="E413" s="86">
        <v>2</v>
      </c>
      <c r="F413" s="194">
        <v>5000</v>
      </c>
      <c r="G413" s="194">
        <f t="shared" si="8"/>
        <v>10000</v>
      </c>
      <c r="H413" s="55"/>
    </row>
    <row r="414" spans="1:8" x14ac:dyDescent="0.25">
      <c r="A414" s="86">
        <v>91</v>
      </c>
      <c r="B414" s="41"/>
      <c r="C414" s="41"/>
      <c r="D414" s="87" t="s">
        <v>373</v>
      </c>
      <c r="E414" s="86">
        <v>2</v>
      </c>
      <c r="F414" s="194">
        <v>2000</v>
      </c>
      <c r="G414" s="194">
        <f t="shared" si="8"/>
        <v>4000</v>
      </c>
      <c r="H414" s="55"/>
    </row>
    <row r="415" spans="1:8" x14ac:dyDescent="0.25">
      <c r="A415" s="86">
        <v>92</v>
      </c>
      <c r="B415" s="85"/>
      <c r="C415" s="85"/>
      <c r="D415" s="85" t="s">
        <v>399</v>
      </c>
      <c r="E415" s="86">
        <v>3</v>
      </c>
      <c r="F415" s="194">
        <v>1000</v>
      </c>
      <c r="G415" s="194">
        <f t="shared" si="8"/>
        <v>3000</v>
      </c>
      <c r="H415" s="55"/>
    </row>
    <row r="416" spans="1:8" x14ac:dyDescent="0.25">
      <c r="A416" s="86">
        <v>93</v>
      </c>
      <c r="B416" s="85"/>
      <c r="C416" s="85"/>
      <c r="D416" s="85" t="s">
        <v>398</v>
      </c>
      <c r="E416" s="86">
        <v>3</v>
      </c>
      <c r="F416" s="194">
        <v>150</v>
      </c>
      <c r="G416" s="194">
        <f t="shared" si="8"/>
        <v>450</v>
      </c>
      <c r="H416" s="55"/>
    </row>
    <row r="417" spans="1:8" x14ac:dyDescent="0.25">
      <c r="A417" s="86">
        <v>94</v>
      </c>
      <c r="B417" s="85"/>
      <c r="C417" s="85"/>
      <c r="D417" s="85" t="s">
        <v>524</v>
      </c>
      <c r="E417" s="86">
        <v>12</v>
      </c>
      <c r="F417" s="143">
        <v>800</v>
      </c>
      <c r="G417" s="194">
        <f t="shared" si="8"/>
        <v>9600</v>
      </c>
      <c r="H417" s="55"/>
    </row>
    <row r="418" spans="1:8" x14ac:dyDescent="0.25">
      <c r="A418" s="144">
        <v>95</v>
      </c>
      <c r="B418" s="85"/>
      <c r="C418" s="85"/>
      <c r="D418" s="85" t="s">
        <v>525</v>
      </c>
      <c r="E418" s="86">
        <v>5</v>
      </c>
      <c r="F418" s="143">
        <v>1200</v>
      </c>
      <c r="G418" s="194">
        <f t="shared" si="8"/>
        <v>6000</v>
      </c>
      <c r="H418" s="82" t="s">
        <v>537</v>
      </c>
    </row>
    <row r="419" spans="1:8" x14ac:dyDescent="0.25">
      <c r="A419" s="144">
        <v>96</v>
      </c>
      <c r="B419" s="85"/>
      <c r="C419" s="85"/>
      <c r="D419" s="85" t="s">
        <v>526</v>
      </c>
      <c r="E419" s="86">
        <v>1</v>
      </c>
      <c r="F419" s="143">
        <v>200</v>
      </c>
      <c r="G419" s="194">
        <f t="shared" si="8"/>
        <v>200</v>
      </c>
      <c r="H419" s="55"/>
    </row>
    <row r="420" spans="1:8" x14ac:dyDescent="0.25">
      <c r="A420" s="144">
        <v>97</v>
      </c>
      <c r="B420" s="85"/>
      <c r="C420" s="85"/>
      <c r="D420" s="85" t="s">
        <v>527</v>
      </c>
      <c r="E420" s="86">
        <v>15</v>
      </c>
      <c r="F420" s="143">
        <v>1200</v>
      </c>
      <c r="G420" s="194">
        <f t="shared" si="8"/>
        <v>18000</v>
      </c>
      <c r="H420" s="55"/>
    </row>
    <row r="421" spans="1:8" x14ac:dyDescent="0.25">
      <c r="A421" s="144">
        <v>98</v>
      </c>
      <c r="B421" s="85"/>
      <c r="C421" s="85"/>
      <c r="D421" s="85" t="s">
        <v>528</v>
      </c>
      <c r="E421" s="86">
        <v>2</v>
      </c>
      <c r="F421" s="143">
        <v>500</v>
      </c>
      <c r="G421" s="194">
        <f t="shared" si="8"/>
        <v>1000</v>
      </c>
      <c r="H421" s="55"/>
    </row>
    <row r="422" spans="1:8" x14ac:dyDescent="0.25">
      <c r="A422" s="144">
        <v>99</v>
      </c>
      <c r="B422" s="85"/>
      <c r="C422" s="85"/>
      <c r="D422" s="85" t="s">
        <v>529</v>
      </c>
      <c r="E422" s="86">
        <v>10</v>
      </c>
      <c r="F422" s="143">
        <v>2500</v>
      </c>
      <c r="G422" s="194">
        <f t="shared" si="8"/>
        <v>25000</v>
      </c>
      <c r="H422" s="55"/>
    </row>
    <row r="423" spans="1:8" x14ac:dyDescent="0.25">
      <c r="A423" s="144">
        <v>100</v>
      </c>
      <c r="B423" s="85"/>
      <c r="C423" s="85"/>
      <c r="D423" s="85" t="s">
        <v>530</v>
      </c>
      <c r="E423" s="86">
        <v>10</v>
      </c>
      <c r="F423" s="143">
        <v>2600</v>
      </c>
      <c r="G423" s="194">
        <f t="shared" si="8"/>
        <v>26000</v>
      </c>
      <c r="H423" s="55"/>
    </row>
    <row r="424" spans="1:8" x14ac:dyDescent="0.25">
      <c r="A424" s="144">
        <v>101</v>
      </c>
      <c r="B424" s="85"/>
      <c r="C424" s="85"/>
      <c r="D424" s="85" t="s">
        <v>531</v>
      </c>
      <c r="E424" s="86">
        <v>20</v>
      </c>
      <c r="F424" s="143">
        <v>1500</v>
      </c>
      <c r="G424" s="194">
        <f t="shared" si="8"/>
        <v>30000</v>
      </c>
      <c r="H424" s="55"/>
    </row>
    <row r="425" spans="1:8" x14ac:dyDescent="0.25">
      <c r="A425" s="144">
        <v>102</v>
      </c>
      <c r="B425" s="85"/>
      <c r="C425" s="85"/>
      <c r="D425" s="85" t="s">
        <v>456</v>
      </c>
      <c r="E425" s="86">
        <v>1</v>
      </c>
      <c r="F425" s="143">
        <v>1500</v>
      </c>
      <c r="G425" s="194">
        <f t="shared" si="8"/>
        <v>1500</v>
      </c>
      <c r="H425" s="55"/>
    </row>
    <row r="426" spans="1:8" x14ac:dyDescent="0.25">
      <c r="A426" s="144">
        <v>103</v>
      </c>
      <c r="B426" s="85"/>
      <c r="C426" s="85"/>
      <c r="D426" s="85" t="s">
        <v>532</v>
      </c>
      <c r="E426" s="86">
        <v>1</v>
      </c>
      <c r="F426" s="143">
        <v>1000</v>
      </c>
      <c r="G426" s="194">
        <f t="shared" si="8"/>
        <v>1000</v>
      </c>
      <c r="H426" s="55"/>
    </row>
    <row r="427" spans="1:8" x14ac:dyDescent="0.25">
      <c r="A427" s="144">
        <v>104</v>
      </c>
      <c r="B427" s="85"/>
      <c r="C427" s="85"/>
      <c r="D427" s="85" t="s">
        <v>535</v>
      </c>
      <c r="E427" s="86">
        <v>1</v>
      </c>
      <c r="F427" s="143">
        <v>2000</v>
      </c>
      <c r="G427" s="194">
        <f t="shared" si="8"/>
        <v>2000</v>
      </c>
      <c r="H427" s="55"/>
    </row>
    <row r="428" spans="1:8" x14ac:dyDescent="0.25">
      <c r="A428" s="144">
        <v>105</v>
      </c>
      <c r="B428" s="85"/>
      <c r="C428" s="85"/>
      <c r="D428" s="85" t="s">
        <v>536</v>
      </c>
      <c r="E428" s="86">
        <v>1</v>
      </c>
      <c r="F428" s="143">
        <v>800</v>
      </c>
      <c r="G428" s="194">
        <f t="shared" si="8"/>
        <v>800</v>
      </c>
      <c r="H428" s="55"/>
    </row>
    <row r="429" spans="1:8" x14ac:dyDescent="0.25">
      <c r="A429" s="144">
        <v>106</v>
      </c>
      <c r="B429" s="85"/>
      <c r="C429" s="85"/>
      <c r="D429" s="85" t="s">
        <v>533</v>
      </c>
      <c r="E429" s="86">
        <v>1</v>
      </c>
      <c r="F429" s="143">
        <v>36000</v>
      </c>
      <c r="G429" s="194">
        <f t="shared" si="8"/>
        <v>36000</v>
      </c>
      <c r="H429" s="55"/>
    </row>
    <row r="430" spans="1:8" x14ac:dyDescent="0.25">
      <c r="A430" s="144">
        <v>107</v>
      </c>
      <c r="B430" s="85"/>
      <c r="C430" s="85"/>
      <c r="D430" s="85" t="s">
        <v>534</v>
      </c>
      <c r="E430" s="86">
        <v>36</v>
      </c>
      <c r="F430" s="143">
        <v>350</v>
      </c>
      <c r="G430" s="194">
        <f t="shared" si="8"/>
        <v>12600</v>
      </c>
      <c r="H430" s="55"/>
    </row>
    <row r="431" spans="1:8" x14ac:dyDescent="0.25">
      <c r="A431" s="144"/>
      <c r="B431" s="222" t="s">
        <v>544</v>
      </c>
      <c r="C431" s="223"/>
      <c r="D431" s="85"/>
      <c r="E431" s="85"/>
      <c r="F431" s="193">
        <f>SUM(F325:F430)</f>
        <v>269580</v>
      </c>
      <c r="G431" s="194"/>
      <c r="H431" s="55"/>
    </row>
    <row r="432" spans="1:8" ht="15.75" x14ac:dyDescent="0.25">
      <c r="A432" s="85"/>
      <c r="B432" s="227" t="s">
        <v>545</v>
      </c>
      <c r="C432" s="228"/>
      <c r="D432" s="85"/>
      <c r="E432" s="85"/>
      <c r="F432" s="85"/>
      <c r="G432" s="195">
        <f>SUM(G325:G431)</f>
        <v>4516980</v>
      </c>
      <c r="H432" s="55"/>
    </row>
  </sheetData>
  <mergeCells count="19">
    <mergeCell ref="A319:F319"/>
    <mergeCell ref="B432:C432"/>
    <mergeCell ref="B431:C431"/>
    <mergeCell ref="A1:G1"/>
    <mergeCell ref="B136:C136"/>
    <mergeCell ref="B233:C233"/>
    <mergeCell ref="A162:F162"/>
    <mergeCell ref="A242:F242"/>
    <mergeCell ref="A2:F2"/>
    <mergeCell ref="B137:C137"/>
    <mergeCell ref="B234:C234"/>
    <mergeCell ref="B257:C257"/>
    <mergeCell ref="B258:C258"/>
    <mergeCell ref="B316:C316"/>
    <mergeCell ref="B317:C317"/>
    <mergeCell ref="A309:G309"/>
    <mergeCell ref="A261:G261"/>
    <mergeCell ref="B304:C304"/>
    <mergeCell ref="B305:C305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Header>&amp;C&amp;"Tahoma,Bold"&amp;14RESTRICTED</oddHeader>
    <oddFooter>&amp;C &amp;P
&amp;"Tahoma,Bold"&amp;14RESTRICTED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2"/>
  <sheetViews>
    <sheetView tabSelected="1" topLeftCell="A139" workbookViewId="0">
      <selection activeCell="I151" sqref="I151"/>
    </sheetView>
  </sheetViews>
  <sheetFormatPr defaultRowHeight="15" x14ac:dyDescent="0.25"/>
  <cols>
    <col min="2" max="2" width="4.42578125" bestFit="1" customWidth="1"/>
    <col min="3" max="3" width="14.42578125" bestFit="1" customWidth="1"/>
    <col min="4" max="4" width="12.42578125" bestFit="1" customWidth="1"/>
    <col min="5" max="5" width="29.85546875" bestFit="1" customWidth="1"/>
    <col min="6" max="6" width="12" bestFit="1" customWidth="1"/>
    <col min="7" max="7" width="12.5703125" bestFit="1" customWidth="1"/>
    <col min="8" max="8" width="19.7109375" bestFit="1" customWidth="1"/>
    <col min="9" max="9" width="40.140625" bestFit="1" customWidth="1"/>
  </cols>
  <sheetData>
    <row r="1" spans="2:10" ht="18" x14ac:dyDescent="0.25">
      <c r="B1" s="221" t="s">
        <v>579</v>
      </c>
      <c r="C1" s="221"/>
      <c r="D1" s="221"/>
      <c r="E1" s="221"/>
      <c r="F1" s="221"/>
      <c r="G1" s="221"/>
      <c r="H1" s="221"/>
    </row>
    <row r="2" spans="2:10" x14ac:dyDescent="0.25">
      <c r="B2" s="220" t="s">
        <v>580</v>
      </c>
      <c r="C2" s="220"/>
      <c r="D2" s="220"/>
      <c r="E2" s="220"/>
      <c r="F2" s="220"/>
      <c r="G2" s="220"/>
      <c r="H2" s="73"/>
      <c r="I2" s="73"/>
      <c r="J2" s="73"/>
    </row>
    <row r="3" spans="2:10" ht="22.5" x14ac:dyDescent="0.3">
      <c r="B3" s="3"/>
      <c r="C3" s="3"/>
      <c r="D3" s="172"/>
      <c r="E3" s="172"/>
      <c r="F3" s="172"/>
      <c r="G3" s="172"/>
      <c r="H3" s="3"/>
      <c r="I3" s="73"/>
      <c r="J3" s="73"/>
    </row>
    <row r="4" spans="2:10" ht="24" x14ac:dyDescent="0.25">
      <c r="B4" s="61" t="s">
        <v>153</v>
      </c>
      <c r="C4" s="62" t="s">
        <v>1</v>
      </c>
      <c r="D4" s="63" t="s">
        <v>2</v>
      </c>
      <c r="E4" s="63" t="s">
        <v>100</v>
      </c>
      <c r="F4" s="63" t="s">
        <v>4</v>
      </c>
      <c r="G4" s="72" t="s">
        <v>540</v>
      </c>
      <c r="H4" s="63" t="s">
        <v>542</v>
      </c>
      <c r="I4" s="58" t="s">
        <v>541</v>
      </c>
      <c r="J4" s="73"/>
    </row>
    <row r="5" spans="2:10" x14ac:dyDescent="0.25">
      <c r="B5" s="63" t="s">
        <v>8</v>
      </c>
      <c r="C5" s="63" t="s">
        <v>10</v>
      </c>
      <c r="D5" s="63" t="s">
        <v>11</v>
      </c>
      <c r="E5" s="63" t="s">
        <v>12</v>
      </c>
      <c r="F5" s="63" t="s">
        <v>14</v>
      </c>
      <c r="G5" s="63" t="s">
        <v>15</v>
      </c>
      <c r="H5" s="63" t="s">
        <v>16</v>
      </c>
      <c r="I5" s="67"/>
      <c r="J5" s="73"/>
    </row>
    <row r="6" spans="2:10" x14ac:dyDescent="0.25">
      <c r="B6" s="64"/>
      <c r="C6" s="63" t="s">
        <v>543</v>
      </c>
      <c r="D6" s="63">
        <v>2200600002</v>
      </c>
      <c r="E6" s="58" t="s">
        <v>216</v>
      </c>
      <c r="F6" s="64"/>
      <c r="G6" s="63" t="s">
        <v>549</v>
      </c>
      <c r="H6" s="63" t="s">
        <v>549</v>
      </c>
      <c r="I6" s="41" t="s">
        <v>547</v>
      </c>
      <c r="J6" s="73"/>
    </row>
    <row r="7" spans="2:10" x14ac:dyDescent="0.25">
      <c r="B7" s="64">
        <v>1</v>
      </c>
      <c r="C7" s="60"/>
      <c r="D7" s="60"/>
      <c r="E7" s="65" t="s">
        <v>17</v>
      </c>
      <c r="F7" s="64">
        <v>500</v>
      </c>
      <c r="G7" s="181">
        <v>130</v>
      </c>
      <c r="H7" s="181">
        <f>F7*G7</f>
        <v>65000</v>
      </c>
      <c r="I7" s="67"/>
      <c r="J7" s="73"/>
    </row>
    <row r="8" spans="2:10" x14ac:dyDescent="0.25">
      <c r="B8" s="64">
        <v>2</v>
      </c>
      <c r="C8" s="60"/>
      <c r="D8" s="60"/>
      <c r="E8" s="60" t="s">
        <v>18</v>
      </c>
      <c r="F8" s="64">
        <v>100</v>
      </c>
      <c r="G8" s="181">
        <v>110</v>
      </c>
      <c r="H8" s="181">
        <f t="shared" ref="H8:H71" si="0">F8*G8</f>
        <v>11000</v>
      </c>
      <c r="I8" s="67"/>
      <c r="J8" s="73"/>
    </row>
    <row r="9" spans="2:10" x14ac:dyDescent="0.25">
      <c r="B9" s="64">
        <v>3</v>
      </c>
      <c r="C9" s="60"/>
      <c r="D9" s="60"/>
      <c r="E9" s="60" t="s">
        <v>19</v>
      </c>
      <c r="F9" s="64">
        <v>20</v>
      </c>
      <c r="G9" s="181">
        <v>115</v>
      </c>
      <c r="H9" s="181">
        <f t="shared" si="0"/>
        <v>2300</v>
      </c>
      <c r="I9" s="67"/>
      <c r="J9" s="73"/>
    </row>
    <row r="10" spans="2:10" x14ac:dyDescent="0.25">
      <c r="B10" s="64">
        <v>4</v>
      </c>
      <c r="C10" s="60"/>
      <c r="D10" s="60"/>
      <c r="E10" s="60" t="s">
        <v>205</v>
      </c>
      <c r="F10" s="64">
        <v>1000</v>
      </c>
      <c r="G10" s="181">
        <v>180</v>
      </c>
      <c r="H10" s="181">
        <f t="shared" si="0"/>
        <v>180000</v>
      </c>
      <c r="I10" s="67"/>
      <c r="J10" s="73"/>
    </row>
    <row r="11" spans="2:10" x14ac:dyDescent="0.25">
      <c r="B11" s="64">
        <v>5</v>
      </c>
      <c r="C11" s="60"/>
      <c r="D11" s="60"/>
      <c r="E11" s="60" t="s">
        <v>137</v>
      </c>
      <c r="F11" s="64">
        <v>1000</v>
      </c>
      <c r="G11" s="181">
        <v>220</v>
      </c>
      <c r="H11" s="181">
        <f t="shared" si="0"/>
        <v>220000</v>
      </c>
      <c r="I11" s="67"/>
      <c r="J11" s="73"/>
    </row>
    <row r="12" spans="2:10" x14ac:dyDescent="0.25">
      <c r="B12" s="64">
        <v>6</v>
      </c>
      <c r="C12" s="60"/>
      <c r="D12" s="60"/>
      <c r="E12" s="60" t="s">
        <v>206</v>
      </c>
      <c r="F12" s="64">
        <v>500</v>
      </c>
      <c r="G12" s="181">
        <v>140</v>
      </c>
      <c r="H12" s="181">
        <f t="shared" si="0"/>
        <v>70000</v>
      </c>
      <c r="I12" s="67"/>
      <c r="J12" s="73"/>
    </row>
    <row r="13" spans="2:10" x14ac:dyDescent="0.25">
      <c r="B13" s="64">
        <v>7</v>
      </c>
      <c r="C13" s="60"/>
      <c r="D13" s="60"/>
      <c r="E13" s="60" t="s">
        <v>218</v>
      </c>
      <c r="F13" s="64">
        <v>500</v>
      </c>
      <c r="G13" s="181">
        <v>200</v>
      </c>
      <c r="H13" s="181">
        <f t="shared" si="0"/>
        <v>100000</v>
      </c>
      <c r="I13" s="67"/>
      <c r="J13" s="73"/>
    </row>
    <row r="14" spans="2:10" x14ac:dyDescent="0.25">
      <c r="B14" s="64">
        <v>8</v>
      </c>
      <c r="C14" s="60"/>
      <c r="D14" s="60"/>
      <c r="E14" s="60" t="s">
        <v>219</v>
      </c>
      <c r="F14" s="64">
        <v>200</v>
      </c>
      <c r="G14" s="181">
        <v>290</v>
      </c>
      <c r="H14" s="181">
        <f t="shared" si="0"/>
        <v>58000</v>
      </c>
      <c r="I14" s="67"/>
      <c r="J14" s="73"/>
    </row>
    <row r="15" spans="2:10" x14ac:dyDescent="0.25">
      <c r="B15" s="64">
        <v>9</v>
      </c>
      <c r="C15" s="60"/>
      <c r="D15" s="60"/>
      <c r="E15" s="60" t="s">
        <v>28</v>
      </c>
      <c r="F15" s="64">
        <v>1000</v>
      </c>
      <c r="G15" s="181">
        <v>110</v>
      </c>
      <c r="H15" s="181">
        <f t="shared" si="0"/>
        <v>110000</v>
      </c>
      <c r="I15" s="67"/>
      <c r="J15" s="73"/>
    </row>
    <row r="16" spans="2:10" x14ac:dyDescent="0.25">
      <c r="B16" s="64">
        <v>10</v>
      </c>
      <c r="C16" s="60"/>
      <c r="D16" s="60"/>
      <c r="E16" s="60" t="s">
        <v>269</v>
      </c>
      <c r="F16" s="64">
        <v>10</v>
      </c>
      <c r="G16" s="181">
        <v>110</v>
      </c>
      <c r="H16" s="181">
        <f t="shared" si="0"/>
        <v>1100</v>
      </c>
      <c r="I16" s="67"/>
      <c r="J16" s="73"/>
    </row>
    <row r="17" spans="2:10" x14ac:dyDescent="0.25">
      <c r="B17" s="64">
        <v>11</v>
      </c>
      <c r="C17" s="60"/>
      <c r="D17" s="60"/>
      <c r="E17" s="60" t="s">
        <v>217</v>
      </c>
      <c r="F17" s="64">
        <v>100</v>
      </c>
      <c r="G17" s="181">
        <v>250</v>
      </c>
      <c r="H17" s="181">
        <f t="shared" si="0"/>
        <v>25000</v>
      </c>
      <c r="I17" s="67"/>
      <c r="J17" s="73"/>
    </row>
    <row r="18" spans="2:10" x14ac:dyDescent="0.25">
      <c r="B18" s="64">
        <v>12</v>
      </c>
      <c r="C18" s="60"/>
      <c r="D18" s="60"/>
      <c r="E18" s="60" t="s">
        <v>209</v>
      </c>
      <c r="F18" s="64">
        <v>200</v>
      </c>
      <c r="G18" s="181">
        <v>360</v>
      </c>
      <c r="H18" s="181">
        <f t="shared" si="0"/>
        <v>72000</v>
      </c>
      <c r="I18" s="67"/>
      <c r="J18" s="73"/>
    </row>
    <row r="19" spans="2:10" x14ac:dyDescent="0.25">
      <c r="B19" s="64">
        <v>13</v>
      </c>
      <c r="C19" s="60"/>
      <c r="D19" s="60"/>
      <c r="E19" s="60" t="s">
        <v>207</v>
      </c>
      <c r="F19" s="64">
        <v>100</v>
      </c>
      <c r="G19" s="181">
        <v>370</v>
      </c>
      <c r="H19" s="181">
        <f t="shared" si="0"/>
        <v>37000</v>
      </c>
      <c r="I19" s="67"/>
      <c r="J19" s="73"/>
    </row>
    <row r="20" spans="2:10" x14ac:dyDescent="0.25">
      <c r="B20" s="64">
        <v>14</v>
      </c>
      <c r="C20" s="60"/>
      <c r="D20" s="60"/>
      <c r="E20" s="60" t="s">
        <v>213</v>
      </c>
      <c r="F20" s="64">
        <v>200</v>
      </c>
      <c r="G20" s="181">
        <v>220</v>
      </c>
      <c r="H20" s="181">
        <f t="shared" si="0"/>
        <v>44000</v>
      </c>
      <c r="I20" s="67"/>
      <c r="J20" s="73"/>
    </row>
    <row r="21" spans="2:10" x14ac:dyDescent="0.25">
      <c r="B21" s="64">
        <v>15</v>
      </c>
      <c r="C21" s="60"/>
      <c r="D21" s="60"/>
      <c r="E21" s="60" t="s">
        <v>220</v>
      </c>
      <c r="F21" s="64">
        <v>50</v>
      </c>
      <c r="G21" s="181">
        <v>100</v>
      </c>
      <c r="H21" s="181">
        <f t="shared" si="0"/>
        <v>5000</v>
      </c>
      <c r="I21" s="67"/>
      <c r="J21" s="73"/>
    </row>
    <row r="22" spans="2:10" x14ac:dyDescent="0.25">
      <c r="B22" s="64">
        <v>16</v>
      </c>
      <c r="C22" s="60"/>
      <c r="D22" s="60"/>
      <c r="E22" s="60" t="s">
        <v>221</v>
      </c>
      <c r="F22" s="64">
        <v>30</v>
      </c>
      <c r="G22" s="181">
        <v>100</v>
      </c>
      <c r="H22" s="181">
        <f t="shared" si="0"/>
        <v>3000</v>
      </c>
      <c r="I22" s="67"/>
      <c r="J22" s="73"/>
    </row>
    <row r="23" spans="2:10" x14ac:dyDescent="0.25">
      <c r="B23" s="64">
        <v>17</v>
      </c>
      <c r="C23" s="60"/>
      <c r="D23" s="60"/>
      <c r="E23" s="60" t="s">
        <v>332</v>
      </c>
      <c r="F23" s="64">
        <v>350</v>
      </c>
      <c r="G23" s="181">
        <v>280</v>
      </c>
      <c r="H23" s="181">
        <f t="shared" si="0"/>
        <v>98000</v>
      </c>
      <c r="I23" s="67"/>
      <c r="J23" s="73"/>
    </row>
    <row r="24" spans="2:10" x14ac:dyDescent="0.25">
      <c r="B24" s="64">
        <v>18</v>
      </c>
      <c r="C24" s="60"/>
      <c r="D24" s="60"/>
      <c r="E24" s="60" t="s">
        <v>333</v>
      </c>
      <c r="F24" s="64">
        <v>300</v>
      </c>
      <c r="G24" s="181">
        <v>300</v>
      </c>
      <c r="H24" s="181">
        <f t="shared" si="0"/>
        <v>90000</v>
      </c>
      <c r="I24" s="67"/>
      <c r="J24" s="73"/>
    </row>
    <row r="25" spans="2:10" x14ac:dyDescent="0.25">
      <c r="B25" s="64">
        <v>19</v>
      </c>
      <c r="C25" s="60"/>
      <c r="D25" s="60"/>
      <c r="E25" s="60" t="s">
        <v>334</v>
      </c>
      <c r="F25" s="64">
        <v>300</v>
      </c>
      <c r="G25" s="181">
        <v>300</v>
      </c>
      <c r="H25" s="181">
        <f t="shared" si="0"/>
        <v>90000</v>
      </c>
      <c r="I25" s="67"/>
      <c r="J25" s="73"/>
    </row>
    <row r="26" spans="2:10" x14ac:dyDescent="0.25">
      <c r="B26" s="64">
        <v>20</v>
      </c>
      <c r="C26" s="60"/>
      <c r="D26" s="60"/>
      <c r="E26" s="60" t="s">
        <v>335</v>
      </c>
      <c r="F26" s="64">
        <v>300</v>
      </c>
      <c r="G26" s="181">
        <v>300</v>
      </c>
      <c r="H26" s="181">
        <f t="shared" si="0"/>
        <v>90000</v>
      </c>
      <c r="I26" s="67"/>
      <c r="J26" s="73"/>
    </row>
    <row r="27" spans="2:10" x14ac:dyDescent="0.25">
      <c r="B27" s="64">
        <v>21</v>
      </c>
      <c r="C27" s="60"/>
      <c r="D27" s="60"/>
      <c r="E27" s="60" t="s">
        <v>336</v>
      </c>
      <c r="F27" s="64">
        <v>150</v>
      </c>
      <c r="G27" s="181">
        <v>100</v>
      </c>
      <c r="H27" s="181">
        <f t="shared" si="0"/>
        <v>15000</v>
      </c>
      <c r="I27" s="67"/>
      <c r="J27" s="73"/>
    </row>
    <row r="28" spans="2:10" x14ac:dyDescent="0.25">
      <c r="B28" s="64">
        <v>22</v>
      </c>
      <c r="C28" s="60"/>
      <c r="D28" s="60"/>
      <c r="E28" s="60" t="s">
        <v>337</v>
      </c>
      <c r="F28" s="64">
        <v>100</v>
      </c>
      <c r="G28" s="181">
        <v>100</v>
      </c>
      <c r="H28" s="181">
        <f t="shared" si="0"/>
        <v>10000</v>
      </c>
      <c r="I28" s="67"/>
      <c r="J28" s="73"/>
    </row>
    <row r="29" spans="2:10" x14ac:dyDescent="0.25">
      <c r="B29" s="64">
        <v>23</v>
      </c>
      <c r="C29" s="60"/>
      <c r="D29" s="60"/>
      <c r="E29" s="60" t="s">
        <v>338</v>
      </c>
      <c r="F29" s="64">
        <v>100</v>
      </c>
      <c r="G29" s="181">
        <v>100</v>
      </c>
      <c r="H29" s="181">
        <f t="shared" si="0"/>
        <v>10000</v>
      </c>
      <c r="I29" s="67"/>
      <c r="J29" s="73"/>
    </row>
    <row r="30" spans="2:10" x14ac:dyDescent="0.25">
      <c r="B30" s="64">
        <v>24</v>
      </c>
      <c r="C30" s="60"/>
      <c r="D30" s="60"/>
      <c r="E30" s="60" t="s">
        <v>339</v>
      </c>
      <c r="F30" s="64">
        <v>100</v>
      </c>
      <c r="G30" s="181">
        <v>100</v>
      </c>
      <c r="H30" s="181">
        <f t="shared" si="0"/>
        <v>10000</v>
      </c>
      <c r="I30" s="67"/>
      <c r="J30" s="73"/>
    </row>
    <row r="31" spans="2:10" x14ac:dyDescent="0.25">
      <c r="B31" s="64">
        <v>25</v>
      </c>
      <c r="C31" s="60"/>
      <c r="D31" s="60"/>
      <c r="E31" s="60" t="s">
        <v>234</v>
      </c>
      <c r="F31" s="64">
        <v>20</v>
      </c>
      <c r="G31" s="181">
        <v>100</v>
      </c>
      <c r="H31" s="181">
        <f t="shared" si="0"/>
        <v>2000</v>
      </c>
      <c r="I31" s="67"/>
      <c r="J31" s="73"/>
    </row>
    <row r="32" spans="2:10" x14ac:dyDescent="0.25">
      <c r="B32" s="64">
        <v>26</v>
      </c>
      <c r="C32" s="60"/>
      <c r="D32" s="60"/>
      <c r="E32" s="60" t="s">
        <v>235</v>
      </c>
      <c r="F32" s="64">
        <v>10</v>
      </c>
      <c r="G32" s="181">
        <v>100</v>
      </c>
      <c r="H32" s="181">
        <f t="shared" si="0"/>
        <v>1000</v>
      </c>
      <c r="I32" s="67"/>
      <c r="J32" s="73"/>
    </row>
    <row r="33" spans="2:10" x14ac:dyDescent="0.25">
      <c r="B33" s="64">
        <v>27</v>
      </c>
      <c r="C33" s="60"/>
      <c r="D33" s="60"/>
      <c r="E33" s="60" t="s">
        <v>236</v>
      </c>
      <c r="F33" s="64">
        <v>10</v>
      </c>
      <c r="G33" s="181">
        <v>100</v>
      </c>
      <c r="H33" s="181">
        <f t="shared" si="0"/>
        <v>1000</v>
      </c>
      <c r="I33" s="67"/>
      <c r="J33" s="73"/>
    </row>
    <row r="34" spans="2:10" x14ac:dyDescent="0.25">
      <c r="B34" s="64">
        <v>28</v>
      </c>
      <c r="C34" s="60"/>
      <c r="D34" s="60"/>
      <c r="E34" s="60" t="s">
        <v>237</v>
      </c>
      <c r="F34" s="64">
        <v>10</v>
      </c>
      <c r="G34" s="181">
        <v>100</v>
      </c>
      <c r="H34" s="181">
        <f t="shared" si="0"/>
        <v>1000</v>
      </c>
      <c r="I34" s="67"/>
      <c r="J34" s="73"/>
    </row>
    <row r="35" spans="2:10" x14ac:dyDescent="0.25">
      <c r="B35" s="64">
        <v>29</v>
      </c>
      <c r="C35" s="60"/>
      <c r="D35" s="60"/>
      <c r="E35" s="60" t="s">
        <v>328</v>
      </c>
      <c r="F35" s="64">
        <v>100</v>
      </c>
      <c r="G35" s="181">
        <v>120</v>
      </c>
      <c r="H35" s="181">
        <f t="shared" si="0"/>
        <v>12000</v>
      </c>
      <c r="I35" s="67"/>
      <c r="J35" s="73"/>
    </row>
    <row r="36" spans="2:10" x14ac:dyDescent="0.25">
      <c r="B36" s="64">
        <v>30</v>
      </c>
      <c r="C36" s="60"/>
      <c r="D36" s="60"/>
      <c r="E36" s="60" t="s">
        <v>329</v>
      </c>
      <c r="F36" s="64">
        <v>50</v>
      </c>
      <c r="G36" s="181">
        <v>115</v>
      </c>
      <c r="H36" s="181">
        <f t="shared" si="0"/>
        <v>5750</v>
      </c>
      <c r="I36" s="67"/>
      <c r="J36" s="73"/>
    </row>
    <row r="37" spans="2:10" x14ac:dyDescent="0.25">
      <c r="B37" s="64">
        <v>31</v>
      </c>
      <c r="C37" s="60"/>
      <c r="D37" s="60"/>
      <c r="E37" s="60" t="s">
        <v>330</v>
      </c>
      <c r="F37" s="64">
        <v>50</v>
      </c>
      <c r="G37" s="181">
        <v>115</v>
      </c>
      <c r="H37" s="181">
        <f t="shared" si="0"/>
        <v>5750</v>
      </c>
      <c r="I37" s="67"/>
      <c r="J37" s="73"/>
    </row>
    <row r="38" spans="2:10" x14ac:dyDescent="0.25">
      <c r="B38" s="64">
        <v>32</v>
      </c>
      <c r="C38" s="60"/>
      <c r="D38" s="60"/>
      <c r="E38" s="60" t="s">
        <v>331</v>
      </c>
      <c r="F38" s="64">
        <v>50</v>
      </c>
      <c r="G38" s="181">
        <v>115</v>
      </c>
      <c r="H38" s="181">
        <f t="shared" si="0"/>
        <v>5750</v>
      </c>
      <c r="I38" s="67"/>
      <c r="J38" s="73"/>
    </row>
    <row r="39" spans="2:10" x14ac:dyDescent="0.25">
      <c r="B39" s="64">
        <v>33</v>
      </c>
      <c r="C39" s="60"/>
      <c r="D39" s="60"/>
      <c r="E39" s="60" t="s">
        <v>327</v>
      </c>
      <c r="F39" s="64">
        <v>50</v>
      </c>
      <c r="G39" s="181">
        <v>330</v>
      </c>
      <c r="H39" s="181">
        <f t="shared" si="0"/>
        <v>16500</v>
      </c>
      <c r="I39" s="67"/>
      <c r="J39" s="73"/>
    </row>
    <row r="40" spans="2:10" x14ac:dyDescent="0.25">
      <c r="B40" s="64">
        <v>34</v>
      </c>
      <c r="C40" s="60"/>
      <c r="D40" s="60"/>
      <c r="E40" s="60" t="s">
        <v>325</v>
      </c>
      <c r="F40" s="64">
        <v>30</v>
      </c>
      <c r="G40" s="181">
        <v>330</v>
      </c>
      <c r="H40" s="181">
        <f t="shared" si="0"/>
        <v>9900</v>
      </c>
      <c r="I40" s="67"/>
      <c r="J40" s="73"/>
    </row>
    <row r="41" spans="2:10" x14ac:dyDescent="0.25">
      <c r="B41" s="64">
        <v>35</v>
      </c>
      <c r="C41" s="60"/>
      <c r="D41" s="60"/>
      <c r="E41" s="60" t="s">
        <v>324</v>
      </c>
      <c r="F41" s="64">
        <v>30</v>
      </c>
      <c r="G41" s="181">
        <v>330</v>
      </c>
      <c r="H41" s="181">
        <f t="shared" si="0"/>
        <v>9900</v>
      </c>
      <c r="I41" s="67"/>
      <c r="J41" s="73"/>
    </row>
    <row r="42" spans="2:10" x14ac:dyDescent="0.25">
      <c r="B42" s="64">
        <v>36</v>
      </c>
      <c r="C42" s="60"/>
      <c r="D42" s="60"/>
      <c r="E42" s="91" t="s">
        <v>326</v>
      </c>
      <c r="F42" s="64">
        <v>30</v>
      </c>
      <c r="G42" s="181">
        <v>330</v>
      </c>
      <c r="H42" s="181">
        <f t="shared" si="0"/>
        <v>9900</v>
      </c>
      <c r="I42" s="67"/>
      <c r="J42" s="73"/>
    </row>
    <row r="43" spans="2:10" x14ac:dyDescent="0.25">
      <c r="B43" s="64">
        <v>37</v>
      </c>
      <c r="C43" s="60"/>
      <c r="D43" s="60"/>
      <c r="E43" s="60" t="s">
        <v>111</v>
      </c>
      <c r="F43" s="64">
        <v>200</v>
      </c>
      <c r="G43" s="181">
        <v>40</v>
      </c>
      <c r="H43" s="181">
        <f t="shared" si="0"/>
        <v>8000</v>
      </c>
      <c r="I43" s="41" t="s">
        <v>257</v>
      </c>
      <c r="J43" s="73"/>
    </row>
    <row r="44" spans="2:10" x14ac:dyDescent="0.25">
      <c r="B44" s="64">
        <v>38</v>
      </c>
      <c r="C44" s="60"/>
      <c r="D44" s="60"/>
      <c r="E44" s="60" t="s">
        <v>112</v>
      </c>
      <c r="F44" s="64">
        <v>200</v>
      </c>
      <c r="G44" s="181">
        <v>40</v>
      </c>
      <c r="H44" s="181">
        <f t="shared" si="0"/>
        <v>8000</v>
      </c>
      <c r="I44" s="67"/>
      <c r="J44" s="73"/>
    </row>
    <row r="45" spans="2:10" x14ac:dyDescent="0.25">
      <c r="B45" s="64">
        <v>39</v>
      </c>
      <c r="C45" s="60"/>
      <c r="D45" s="60"/>
      <c r="E45" s="60" t="s">
        <v>40</v>
      </c>
      <c r="F45" s="64">
        <v>100</v>
      </c>
      <c r="G45" s="181">
        <v>80</v>
      </c>
      <c r="H45" s="181">
        <f t="shared" si="0"/>
        <v>8000</v>
      </c>
      <c r="I45" s="67"/>
      <c r="J45" s="73"/>
    </row>
    <row r="46" spans="2:10" x14ac:dyDescent="0.25">
      <c r="B46" s="64">
        <v>40</v>
      </c>
      <c r="C46" s="60"/>
      <c r="D46" s="60"/>
      <c r="E46" s="60" t="s">
        <v>39</v>
      </c>
      <c r="F46" s="64">
        <v>100</v>
      </c>
      <c r="G46" s="181">
        <v>80</v>
      </c>
      <c r="H46" s="181">
        <f t="shared" si="0"/>
        <v>8000</v>
      </c>
      <c r="I46" s="67"/>
      <c r="J46" s="73"/>
    </row>
    <row r="47" spans="2:10" x14ac:dyDescent="0.25">
      <c r="B47" s="64">
        <v>41</v>
      </c>
      <c r="C47" s="60"/>
      <c r="D47" s="60"/>
      <c r="E47" s="60" t="s">
        <v>210</v>
      </c>
      <c r="F47" s="64">
        <v>10</v>
      </c>
      <c r="G47" s="181">
        <v>200</v>
      </c>
      <c r="H47" s="181">
        <f t="shared" si="0"/>
        <v>2000</v>
      </c>
      <c r="I47" s="67"/>
      <c r="J47" s="73"/>
    </row>
    <row r="48" spans="2:10" x14ac:dyDescent="0.25">
      <c r="B48" s="64">
        <v>42</v>
      </c>
      <c r="C48" s="60"/>
      <c r="D48" s="60"/>
      <c r="E48" s="60" t="s">
        <v>211</v>
      </c>
      <c r="F48" s="64">
        <v>15</v>
      </c>
      <c r="G48" s="181">
        <v>200</v>
      </c>
      <c r="H48" s="181">
        <f t="shared" si="0"/>
        <v>3000</v>
      </c>
      <c r="I48" s="67"/>
      <c r="J48" s="73"/>
    </row>
    <row r="49" spans="2:10" x14ac:dyDescent="0.25">
      <c r="B49" s="64">
        <v>43</v>
      </c>
      <c r="C49" s="60"/>
      <c r="D49" s="60"/>
      <c r="E49" s="60" t="s">
        <v>222</v>
      </c>
      <c r="F49" s="64">
        <v>150</v>
      </c>
      <c r="G49" s="181">
        <v>80</v>
      </c>
      <c r="H49" s="181">
        <f t="shared" si="0"/>
        <v>12000</v>
      </c>
      <c r="I49" s="67"/>
      <c r="J49" s="73"/>
    </row>
    <row r="50" spans="2:10" x14ac:dyDescent="0.25">
      <c r="B50" s="64">
        <v>44</v>
      </c>
      <c r="C50" s="60"/>
      <c r="D50" s="60"/>
      <c r="E50" s="60" t="s">
        <v>223</v>
      </c>
      <c r="F50" s="64">
        <v>100</v>
      </c>
      <c r="G50" s="181">
        <v>80</v>
      </c>
      <c r="H50" s="181">
        <f t="shared" si="0"/>
        <v>8000</v>
      </c>
      <c r="I50" s="67"/>
      <c r="J50" s="73"/>
    </row>
    <row r="51" spans="2:10" x14ac:dyDescent="0.25">
      <c r="B51" s="64">
        <v>45</v>
      </c>
      <c r="C51" s="60"/>
      <c r="D51" s="60"/>
      <c r="E51" s="60" t="s">
        <v>224</v>
      </c>
      <c r="F51" s="64">
        <v>100</v>
      </c>
      <c r="G51" s="181">
        <v>80</v>
      </c>
      <c r="H51" s="181">
        <f t="shared" si="0"/>
        <v>8000</v>
      </c>
      <c r="I51" s="67"/>
      <c r="J51" s="73"/>
    </row>
    <row r="52" spans="2:10" x14ac:dyDescent="0.25">
      <c r="B52" s="64">
        <v>46</v>
      </c>
      <c r="C52" s="60"/>
      <c r="D52" s="60"/>
      <c r="E52" s="60" t="s">
        <v>225</v>
      </c>
      <c r="F52" s="64">
        <v>100</v>
      </c>
      <c r="G52" s="181">
        <v>80</v>
      </c>
      <c r="H52" s="181">
        <f t="shared" si="0"/>
        <v>8000</v>
      </c>
      <c r="I52" s="67"/>
      <c r="J52" s="73"/>
    </row>
    <row r="53" spans="2:10" x14ac:dyDescent="0.25">
      <c r="B53" s="64">
        <v>47</v>
      </c>
      <c r="C53" s="60"/>
      <c r="D53" s="60"/>
      <c r="E53" s="60" t="s">
        <v>230</v>
      </c>
      <c r="F53" s="64">
        <v>150</v>
      </c>
      <c r="G53" s="181">
        <v>350</v>
      </c>
      <c r="H53" s="181">
        <f t="shared" si="0"/>
        <v>52500</v>
      </c>
      <c r="I53" s="67"/>
      <c r="J53" s="73"/>
    </row>
    <row r="54" spans="2:10" x14ac:dyDescent="0.25">
      <c r="B54" s="64">
        <v>48</v>
      </c>
      <c r="C54" s="60"/>
      <c r="D54" s="60"/>
      <c r="E54" s="60" t="s">
        <v>231</v>
      </c>
      <c r="F54" s="64">
        <v>100</v>
      </c>
      <c r="G54" s="181">
        <v>350</v>
      </c>
      <c r="H54" s="181">
        <f t="shared" si="0"/>
        <v>35000</v>
      </c>
      <c r="I54" s="67"/>
      <c r="J54" s="73"/>
    </row>
    <row r="55" spans="2:10" x14ac:dyDescent="0.25">
      <c r="B55" s="64">
        <v>49</v>
      </c>
      <c r="C55" s="60"/>
      <c r="D55" s="60"/>
      <c r="E55" s="60" t="s">
        <v>281</v>
      </c>
      <c r="F55" s="64">
        <v>100</v>
      </c>
      <c r="G55" s="181">
        <v>350</v>
      </c>
      <c r="H55" s="181">
        <f t="shared" si="0"/>
        <v>35000</v>
      </c>
      <c r="I55" s="67"/>
      <c r="J55" s="73"/>
    </row>
    <row r="56" spans="2:10" x14ac:dyDescent="0.25">
      <c r="B56" s="64">
        <v>50</v>
      </c>
      <c r="C56" s="60"/>
      <c r="D56" s="60"/>
      <c r="E56" s="60" t="s">
        <v>280</v>
      </c>
      <c r="F56" s="64">
        <v>100</v>
      </c>
      <c r="G56" s="181">
        <v>350</v>
      </c>
      <c r="H56" s="181">
        <f t="shared" si="0"/>
        <v>35000</v>
      </c>
      <c r="I56" s="67"/>
      <c r="J56" s="73"/>
    </row>
    <row r="57" spans="2:10" x14ac:dyDescent="0.25">
      <c r="B57" s="66">
        <v>51</v>
      </c>
      <c r="C57" s="67"/>
      <c r="D57" s="67"/>
      <c r="E57" s="68" t="s">
        <v>226</v>
      </c>
      <c r="F57" s="64">
        <v>200</v>
      </c>
      <c r="G57" s="183">
        <v>360</v>
      </c>
      <c r="H57" s="181">
        <f t="shared" si="0"/>
        <v>72000</v>
      </c>
      <c r="I57" s="67"/>
      <c r="J57" s="73"/>
    </row>
    <row r="58" spans="2:10" x14ac:dyDescent="0.25">
      <c r="B58" s="64">
        <v>52</v>
      </c>
      <c r="C58" s="60"/>
      <c r="D58" s="60"/>
      <c r="E58" s="60" t="s">
        <v>227</v>
      </c>
      <c r="F58" s="64">
        <v>150</v>
      </c>
      <c r="G58" s="181">
        <v>360</v>
      </c>
      <c r="H58" s="181">
        <f t="shared" si="0"/>
        <v>54000</v>
      </c>
      <c r="I58" s="67"/>
      <c r="J58" s="73"/>
    </row>
    <row r="59" spans="2:10" x14ac:dyDescent="0.25">
      <c r="B59" s="64">
        <v>53</v>
      </c>
      <c r="C59" s="60"/>
      <c r="D59" s="60"/>
      <c r="E59" s="60" t="s">
        <v>228</v>
      </c>
      <c r="F59" s="64">
        <v>150</v>
      </c>
      <c r="G59" s="181">
        <v>360</v>
      </c>
      <c r="H59" s="181">
        <f t="shared" si="0"/>
        <v>54000</v>
      </c>
      <c r="I59" s="67"/>
      <c r="J59" s="73"/>
    </row>
    <row r="60" spans="2:10" x14ac:dyDescent="0.25">
      <c r="B60" s="64">
        <v>54</v>
      </c>
      <c r="C60" s="60"/>
      <c r="D60" s="60"/>
      <c r="E60" s="60" t="s">
        <v>229</v>
      </c>
      <c r="F60" s="64">
        <v>150</v>
      </c>
      <c r="G60" s="181">
        <v>360</v>
      </c>
      <c r="H60" s="181">
        <f t="shared" si="0"/>
        <v>54000</v>
      </c>
      <c r="I60" s="67"/>
      <c r="J60" s="73"/>
    </row>
    <row r="61" spans="2:10" ht="24" x14ac:dyDescent="0.25">
      <c r="B61" s="64">
        <v>55</v>
      </c>
      <c r="C61" s="60"/>
      <c r="D61" s="60"/>
      <c r="E61" s="91" t="s">
        <v>270</v>
      </c>
      <c r="F61" s="64">
        <v>150</v>
      </c>
      <c r="G61" s="181">
        <v>500</v>
      </c>
      <c r="H61" s="181">
        <f t="shared" si="0"/>
        <v>75000</v>
      </c>
      <c r="I61" s="67"/>
      <c r="J61" s="73"/>
    </row>
    <row r="62" spans="2:10" x14ac:dyDescent="0.25">
      <c r="B62" s="64">
        <v>56</v>
      </c>
      <c r="C62" s="60"/>
      <c r="D62" s="60"/>
      <c r="E62" s="60" t="s">
        <v>271</v>
      </c>
      <c r="F62" s="64">
        <v>200</v>
      </c>
      <c r="G62" s="181">
        <v>500</v>
      </c>
      <c r="H62" s="181">
        <f t="shared" si="0"/>
        <v>100000</v>
      </c>
      <c r="I62" s="67"/>
      <c r="J62" s="73"/>
    </row>
    <row r="63" spans="2:10" x14ac:dyDescent="0.25">
      <c r="B63" s="64">
        <v>57</v>
      </c>
      <c r="C63" s="60"/>
      <c r="D63" s="60"/>
      <c r="E63" s="60" t="s">
        <v>272</v>
      </c>
      <c r="F63" s="64">
        <v>150</v>
      </c>
      <c r="G63" s="181">
        <v>500</v>
      </c>
      <c r="H63" s="181">
        <f t="shared" si="0"/>
        <v>75000</v>
      </c>
      <c r="I63" s="67"/>
      <c r="J63" s="73"/>
    </row>
    <row r="64" spans="2:10" x14ac:dyDescent="0.25">
      <c r="B64" s="64">
        <v>58</v>
      </c>
      <c r="C64" s="60"/>
      <c r="D64" s="60"/>
      <c r="E64" s="60" t="s">
        <v>273</v>
      </c>
      <c r="F64" s="64">
        <v>150</v>
      </c>
      <c r="G64" s="181">
        <v>500</v>
      </c>
      <c r="H64" s="181">
        <f t="shared" si="0"/>
        <v>75000</v>
      </c>
      <c r="I64" s="67"/>
      <c r="J64" s="73"/>
    </row>
    <row r="65" spans="2:10" x14ac:dyDescent="0.25">
      <c r="B65" s="64">
        <v>59</v>
      </c>
      <c r="C65" s="60"/>
      <c r="D65" s="60"/>
      <c r="E65" s="60" t="s">
        <v>274</v>
      </c>
      <c r="F65" s="64">
        <v>150</v>
      </c>
      <c r="G65" s="181">
        <v>500</v>
      </c>
      <c r="H65" s="181">
        <f t="shared" si="0"/>
        <v>75000</v>
      </c>
      <c r="I65" s="67"/>
      <c r="J65" s="73"/>
    </row>
    <row r="66" spans="2:10" x14ac:dyDescent="0.25">
      <c r="B66" s="64">
        <v>60</v>
      </c>
      <c r="C66" s="60"/>
      <c r="D66" s="60"/>
      <c r="E66" s="60" t="s">
        <v>275</v>
      </c>
      <c r="F66" s="64">
        <v>150</v>
      </c>
      <c r="G66" s="181">
        <v>250</v>
      </c>
      <c r="H66" s="181">
        <f t="shared" si="0"/>
        <v>37500</v>
      </c>
      <c r="I66" s="67"/>
      <c r="J66" s="73"/>
    </row>
    <row r="67" spans="2:10" x14ac:dyDescent="0.25">
      <c r="B67" s="64">
        <v>61</v>
      </c>
      <c r="C67" s="60"/>
      <c r="D67" s="60"/>
      <c r="E67" s="60" t="s">
        <v>276</v>
      </c>
      <c r="F67" s="64">
        <v>100</v>
      </c>
      <c r="G67" s="181">
        <v>250</v>
      </c>
      <c r="H67" s="181">
        <f t="shared" si="0"/>
        <v>25000</v>
      </c>
      <c r="I67" s="67"/>
      <c r="J67" s="73"/>
    </row>
    <row r="68" spans="2:10" ht="24" x14ac:dyDescent="0.25">
      <c r="B68" s="64">
        <v>62</v>
      </c>
      <c r="C68" s="60"/>
      <c r="D68" s="60"/>
      <c r="E68" s="91" t="s">
        <v>277</v>
      </c>
      <c r="F68" s="64">
        <v>100</v>
      </c>
      <c r="G68" s="181">
        <v>250</v>
      </c>
      <c r="H68" s="181">
        <f t="shared" si="0"/>
        <v>25000</v>
      </c>
      <c r="I68" s="67"/>
      <c r="J68" s="73"/>
    </row>
    <row r="69" spans="2:10" ht="24" x14ac:dyDescent="0.25">
      <c r="B69" s="64">
        <v>63</v>
      </c>
      <c r="C69" s="60"/>
      <c r="D69" s="60"/>
      <c r="E69" s="91" t="s">
        <v>278</v>
      </c>
      <c r="F69" s="64">
        <v>100</v>
      </c>
      <c r="G69" s="181">
        <v>250</v>
      </c>
      <c r="H69" s="181">
        <f t="shared" si="0"/>
        <v>25000</v>
      </c>
      <c r="I69" s="67"/>
      <c r="J69" s="73"/>
    </row>
    <row r="70" spans="2:10" x14ac:dyDescent="0.25">
      <c r="B70" s="64">
        <v>64</v>
      </c>
      <c r="C70" s="60"/>
      <c r="D70" s="60"/>
      <c r="E70" s="60" t="s">
        <v>212</v>
      </c>
      <c r="F70" s="64">
        <v>10</v>
      </c>
      <c r="G70" s="181">
        <v>100</v>
      </c>
      <c r="H70" s="181">
        <f t="shared" si="0"/>
        <v>1000</v>
      </c>
      <c r="I70" s="67"/>
      <c r="J70" s="73"/>
    </row>
    <row r="71" spans="2:10" x14ac:dyDescent="0.25">
      <c r="B71" s="64">
        <v>65</v>
      </c>
      <c r="C71" s="60"/>
      <c r="D71" s="60"/>
      <c r="E71" s="60" t="s">
        <v>208</v>
      </c>
      <c r="F71" s="64">
        <v>30</v>
      </c>
      <c r="G71" s="181">
        <v>150</v>
      </c>
      <c r="H71" s="181">
        <f t="shared" si="0"/>
        <v>4500</v>
      </c>
      <c r="I71" s="67"/>
      <c r="J71" s="73"/>
    </row>
    <row r="72" spans="2:10" ht="24" x14ac:dyDescent="0.25">
      <c r="B72" s="64">
        <v>66</v>
      </c>
      <c r="C72" s="60"/>
      <c r="D72" s="60"/>
      <c r="E72" s="91" t="s">
        <v>450</v>
      </c>
      <c r="F72" s="64">
        <v>80</v>
      </c>
      <c r="G72" s="181">
        <v>550</v>
      </c>
      <c r="H72" s="181">
        <f t="shared" ref="H72:H123" si="1">F72*G72</f>
        <v>44000</v>
      </c>
      <c r="I72" s="41" t="s">
        <v>548</v>
      </c>
      <c r="J72" s="73"/>
    </row>
    <row r="73" spans="2:10" ht="24" x14ac:dyDescent="0.25">
      <c r="B73" s="64">
        <v>67</v>
      </c>
      <c r="C73" s="60"/>
      <c r="D73" s="60"/>
      <c r="E73" s="91" t="s">
        <v>451</v>
      </c>
      <c r="F73" s="64">
        <v>80</v>
      </c>
      <c r="G73" s="181">
        <v>550</v>
      </c>
      <c r="H73" s="181">
        <f t="shared" si="1"/>
        <v>44000</v>
      </c>
      <c r="I73" s="67"/>
      <c r="J73" s="73"/>
    </row>
    <row r="74" spans="2:10" x14ac:dyDescent="0.25">
      <c r="B74" s="64">
        <v>68</v>
      </c>
      <c r="C74" s="60"/>
      <c r="D74" s="60"/>
      <c r="E74" s="60" t="s">
        <v>233</v>
      </c>
      <c r="F74" s="64">
        <v>200</v>
      </c>
      <c r="G74" s="181">
        <v>250</v>
      </c>
      <c r="H74" s="181">
        <f t="shared" si="1"/>
        <v>50000</v>
      </c>
      <c r="I74" s="67"/>
      <c r="J74" s="73"/>
    </row>
    <row r="75" spans="2:10" x14ac:dyDescent="0.25">
      <c r="B75" s="64">
        <v>69</v>
      </c>
      <c r="C75" s="60"/>
      <c r="D75" s="60"/>
      <c r="E75" s="60" t="s">
        <v>232</v>
      </c>
      <c r="F75" s="64">
        <v>40</v>
      </c>
      <c r="G75" s="181">
        <v>40</v>
      </c>
      <c r="H75" s="181">
        <f t="shared" si="1"/>
        <v>1600</v>
      </c>
      <c r="I75" s="67"/>
      <c r="J75" s="73"/>
    </row>
    <row r="76" spans="2:10" x14ac:dyDescent="0.25">
      <c r="B76" s="64">
        <v>70</v>
      </c>
      <c r="C76" s="60"/>
      <c r="D76" s="60"/>
      <c r="E76" s="60" t="s">
        <v>135</v>
      </c>
      <c r="F76" s="64">
        <v>20</v>
      </c>
      <c r="G76" s="181">
        <v>150</v>
      </c>
      <c r="H76" s="181">
        <f t="shared" si="1"/>
        <v>3000</v>
      </c>
      <c r="I76" s="67"/>
      <c r="J76" s="73"/>
    </row>
    <row r="77" spans="2:10" x14ac:dyDescent="0.25">
      <c r="B77" s="64">
        <v>71</v>
      </c>
      <c r="C77" s="60"/>
      <c r="D77" s="60"/>
      <c r="E77" s="60" t="s">
        <v>134</v>
      </c>
      <c r="F77" s="64">
        <v>20</v>
      </c>
      <c r="G77" s="181">
        <v>150</v>
      </c>
      <c r="H77" s="181">
        <f t="shared" si="1"/>
        <v>3000</v>
      </c>
      <c r="I77" s="67"/>
      <c r="J77" s="73"/>
    </row>
    <row r="78" spans="2:10" x14ac:dyDescent="0.25">
      <c r="B78" s="64">
        <v>72</v>
      </c>
      <c r="C78" s="60"/>
      <c r="D78" s="60"/>
      <c r="E78" s="60" t="s">
        <v>133</v>
      </c>
      <c r="F78" s="64">
        <v>12</v>
      </c>
      <c r="G78" s="181">
        <v>80</v>
      </c>
      <c r="H78" s="181">
        <f t="shared" si="1"/>
        <v>960</v>
      </c>
      <c r="I78" s="67"/>
      <c r="J78" s="73"/>
    </row>
    <row r="79" spans="2:10" x14ac:dyDescent="0.25">
      <c r="B79" s="64">
        <v>73</v>
      </c>
      <c r="C79" s="60"/>
      <c r="D79" s="60"/>
      <c r="E79" s="60" t="s">
        <v>132</v>
      </c>
      <c r="F79" s="64">
        <v>12</v>
      </c>
      <c r="G79" s="181">
        <v>80</v>
      </c>
      <c r="H79" s="181">
        <f t="shared" si="1"/>
        <v>960</v>
      </c>
      <c r="I79" s="67"/>
      <c r="J79" s="73"/>
    </row>
    <row r="80" spans="2:10" x14ac:dyDescent="0.25">
      <c r="B80" s="64">
        <v>74</v>
      </c>
      <c r="C80" s="60"/>
      <c r="D80" s="60"/>
      <c r="E80" s="60" t="s">
        <v>131</v>
      </c>
      <c r="F80" s="64">
        <v>12</v>
      </c>
      <c r="G80" s="181">
        <v>80</v>
      </c>
      <c r="H80" s="181">
        <f t="shared" si="1"/>
        <v>960</v>
      </c>
      <c r="I80" s="67"/>
      <c r="J80" s="73"/>
    </row>
    <row r="81" spans="2:10" ht="24" x14ac:dyDescent="0.25">
      <c r="B81" s="64">
        <v>75</v>
      </c>
      <c r="C81" s="60"/>
      <c r="D81" s="60"/>
      <c r="E81" s="91" t="s">
        <v>130</v>
      </c>
      <c r="F81" s="64">
        <v>12</v>
      </c>
      <c r="G81" s="181">
        <v>120</v>
      </c>
      <c r="H81" s="181">
        <f t="shared" si="1"/>
        <v>1440</v>
      </c>
      <c r="I81" s="67"/>
      <c r="J81" s="73"/>
    </row>
    <row r="82" spans="2:10" ht="24" x14ac:dyDescent="0.25">
      <c r="B82" s="64">
        <v>76</v>
      </c>
      <c r="C82" s="60"/>
      <c r="D82" s="60"/>
      <c r="E82" s="91" t="s">
        <v>129</v>
      </c>
      <c r="F82" s="64">
        <v>12</v>
      </c>
      <c r="G82" s="181">
        <v>120</v>
      </c>
      <c r="H82" s="181">
        <f t="shared" si="1"/>
        <v>1440</v>
      </c>
      <c r="I82" s="67"/>
      <c r="J82" s="73"/>
    </row>
    <row r="83" spans="2:10" ht="24" x14ac:dyDescent="0.25">
      <c r="B83" s="64">
        <v>77</v>
      </c>
      <c r="C83" s="60"/>
      <c r="D83" s="60"/>
      <c r="E83" s="91" t="s">
        <v>128</v>
      </c>
      <c r="F83" s="64">
        <v>12</v>
      </c>
      <c r="G83" s="181">
        <v>120</v>
      </c>
      <c r="H83" s="181">
        <f t="shared" si="1"/>
        <v>1440</v>
      </c>
      <c r="I83" s="67"/>
      <c r="J83" s="73"/>
    </row>
    <row r="84" spans="2:10" ht="24" x14ac:dyDescent="0.25">
      <c r="B84" s="64">
        <v>78</v>
      </c>
      <c r="C84" s="60"/>
      <c r="D84" s="60"/>
      <c r="E84" s="91" t="s">
        <v>127</v>
      </c>
      <c r="F84" s="64">
        <v>12</v>
      </c>
      <c r="G84" s="181">
        <v>120</v>
      </c>
      <c r="H84" s="181">
        <f t="shared" si="1"/>
        <v>1440</v>
      </c>
      <c r="I84" s="67"/>
      <c r="J84" s="73"/>
    </row>
    <row r="85" spans="2:10" x14ac:dyDescent="0.25">
      <c r="B85" s="64">
        <v>79</v>
      </c>
      <c r="C85" s="60"/>
      <c r="D85" s="60"/>
      <c r="E85" s="60" t="s">
        <v>279</v>
      </c>
      <c r="F85" s="64">
        <v>12</v>
      </c>
      <c r="G85" s="181">
        <v>50</v>
      </c>
      <c r="H85" s="181">
        <f t="shared" si="1"/>
        <v>600</v>
      </c>
      <c r="I85" s="67"/>
      <c r="J85" s="73"/>
    </row>
    <row r="86" spans="2:10" x14ac:dyDescent="0.25">
      <c r="B86" s="64">
        <v>80</v>
      </c>
      <c r="C86" s="60"/>
      <c r="D86" s="60"/>
      <c r="E86" s="91" t="s">
        <v>139</v>
      </c>
      <c r="F86" s="64">
        <v>15</v>
      </c>
      <c r="G86" s="181">
        <v>70</v>
      </c>
      <c r="H86" s="181">
        <f t="shared" si="1"/>
        <v>1050</v>
      </c>
      <c r="I86" s="67"/>
      <c r="J86" s="73"/>
    </row>
    <row r="87" spans="2:10" ht="24" x14ac:dyDescent="0.25">
      <c r="B87" s="64">
        <v>81</v>
      </c>
      <c r="C87" s="60"/>
      <c r="D87" s="60"/>
      <c r="E87" s="91" t="s">
        <v>140</v>
      </c>
      <c r="F87" s="64">
        <v>15</v>
      </c>
      <c r="G87" s="181">
        <v>70</v>
      </c>
      <c r="H87" s="181">
        <f t="shared" si="1"/>
        <v>1050</v>
      </c>
      <c r="I87" s="67"/>
      <c r="J87" s="73"/>
    </row>
    <row r="88" spans="2:10" x14ac:dyDescent="0.25">
      <c r="B88" s="64">
        <v>82</v>
      </c>
      <c r="C88" s="60"/>
      <c r="D88" s="60"/>
      <c r="E88" s="60" t="s">
        <v>143</v>
      </c>
      <c r="F88" s="64">
        <v>12</v>
      </c>
      <c r="G88" s="181">
        <v>70</v>
      </c>
      <c r="H88" s="181">
        <f t="shared" si="1"/>
        <v>840</v>
      </c>
      <c r="I88" s="67"/>
      <c r="J88" s="73"/>
    </row>
    <row r="89" spans="2:10" ht="24" x14ac:dyDescent="0.25">
      <c r="B89" s="64">
        <v>83</v>
      </c>
      <c r="C89" s="60"/>
      <c r="D89" s="60"/>
      <c r="E89" s="91" t="s">
        <v>141</v>
      </c>
      <c r="F89" s="64">
        <v>12</v>
      </c>
      <c r="G89" s="181">
        <v>70</v>
      </c>
      <c r="H89" s="181">
        <f t="shared" si="1"/>
        <v>840</v>
      </c>
      <c r="I89" s="67"/>
      <c r="J89" s="73"/>
    </row>
    <row r="90" spans="2:10" x14ac:dyDescent="0.25">
      <c r="B90" s="64">
        <v>84</v>
      </c>
      <c r="C90" s="60"/>
      <c r="D90" s="60"/>
      <c r="E90" s="60" t="s">
        <v>142</v>
      </c>
      <c r="F90" s="64">
        <v>12</v>
      </c>
      <c r="G90" s="181">
        <v>70</v>
      </c>
      <c r="H90" s="181">
        <f t="shared" si="1"/>
        <v>840</v>
      </c>
      <c r="I90" s="67"/>
      <c r="J90" s="73"/>
    </row>
    <row r="91" spans="2:10" x14ac:dyDescent="0.25">
      <c r="B91" s="71">
        <v>85</v>
      </c>
      <c r="C91" s="101"/>
      <c r="D91" s="102"/>
      <c r="E91" s="70" t="s">
        <v>437</v>
      </c>
      <c r="F91" s="71">
        <v>240</v>
      </c>
      <c r="G91" s="182">
        <v>450</v>
      </c>
      <c r="H91" s="181">
        <f t="shared" si="1"/>
        <v>108000</v>
      </c>
      <c r="I91" s="67"/>
      <c r="J91" s="73"/>
    </row>
    <row r="92" spans="2:10" x14ac:dyDescent="0.25">
      <c r="B92" s="71">
        <v>86</v>
      </c>
      <c r="C92" s="101"/>
      <c r="D92" s="102"/>
      <c r="E92" s="70" t="s">
        <v>438</v>
      </c>
      <c r="F92" s="71">
        <v>240</v>
      </c>
      <c r="G92" s="182">
        <v>400</v>
      </c>
      <c r="H92" s="181">
        <f t="shared" si="1"/>
        <v>96000</v>
      </c>
      <c r="I92" s="67"/>
      <c r="J92" s="73"/>
    </row>
    <row r="93" spans="2:10" x14ac:dyDescent="0.25">
      <c r="B93" s="71">
        <v>87</v>
      </c>
      <c r="C93" s="101"/>
      <c r="D93" s="102"/>
      <c r="E93" s="70" t="s">
        <v>436</v>
      </c>
      <c r="F93" s="71">
        <v>240</v>
      </c>
      <c r="G93" s="182">
        <v>400</v>
      </c>
      <c r="H93" s="181">
        <f t="shared" si="1"/>
        <v>96000</v>
      </c>
      <c r="I93" s="67"/>
      <c r="J93" s="73"/>
    </row>
    <row r="94" spans="2:10" x14ac:dyDescent="0.25">
      <c r="B94" s="71">
        <v>88</v>
      </c>
      <c r="C94" s="101"/>
      <c r="D94" s="102"/>
      <c r="E94" s="70" t="s">
        <v>439</v>
      </c>
      <c r="F94" s="71">
        <v>240</v>
      </c>
      <c r="G94" s="182">
        <v>400</v>
      </c>
      <c r="H94" s="181">
        <f t="shared" si="1"/>
        <v>96000</v>
      </c>
      <c r="I94" s="67"/>
      <c r="J94" s="73"/>
    </row>
    <row r="95" spans="2:10" x14ac:dyDescent="0.25">
      <c r="B95" s="71">
        <v>89</v>
      </c>
      <c r="C95" s="101"/>
      <c r="D95" s="102"/>
      <c r="E95" s="70" t="s">
        <v>435</v>
      </c>
      <c r="F95" s="71">
        <v>120</v>
      </c>
      <c r="G95" s="182">
        <v>500</v>
      </c>
      <c r="H95" s="181">
        <f t="shared" si="1"/>
        <v>60000</v>
      </c>
      <c r="I95" s="67"/>
      <c r="J95" s="73"/>
    </row>
    <row r="96" spans="2:10" x14ac:dyDescent="0.25">
      <c r="B96" s="71">
        <v>90</v>
      </c>
      <c r="C96" s="101"/>
      <c r="D96" s="102"/>
      <c r="E96" s="70" t="s">
        <v>440</v>
      </c>
      <c r="F96" s="71">
        <v>120</v>
      </c>
      <c r="G96" s="182">
        <v>500</v>
      </c>
      <c r="H96" s="181">
        <f t="shared" si="1"/>
        <v>60000</v>
      </c>
      <c r="I96" s="67"/>
      <c r="J96" s="73"/>
    </row>
    <row r="97" spans="2:10" x14ac:dyDescent="0.25">
      <c r="B97" s="71">
        <v>91</v>
      </c>
      <c r="C97" s="101"/>
      <c r="D97" s="102"/>
      <c r="E97" s="70" t="s">
        <v>441</v>
      </c>
      <c r="F97" s="71">
        <v>120</v>
      </c>
      <c r="G97" s="182">
        <v>500</v>
      </c>
      <c r="H97" s="181">
        <f t="shared" si="1"/>
        <v>60000</v>
      </c>
      <c r="I97" s="67"/>
      <c r="J97" s="73"/>
    </row>
    <row r="98" spans="2:10" x14ac:dyDescent="0.25">
      <c r="B98" s="71">
        <v>92</v>
      </c>
      <c r="C98" s="101"/>
      <c r="D98" s="102"/>
      <c r="E98" s="70" t="s">
        <v>442</v>
      </c>
      <c r="F98" s="71">
        <v>120</v>
      </c>
      <c r="G98" s="182">
        <v>500</v>
      </c>
      <c r="H98" s="181">
        <f t="shared" si="1"/>
        <v>60000</v>
      </c>
      <c r="I98" s="67"/>
      <c r="J98" s="73"/>
    </row>
    <row r="99" spans="2:10" x14ac:dyDescent="0.25">
      <c r="B99" s="71">
        <v>93</v>
      </c>
      <c r="C99" s="101"/>
      <c r="D99" s="102"/>
      <c r="E99" s="70" t="s">
        <v>443</v>
      </c>
      <c r="F99" s="71">
        <v>60</v>
      </c>
      <c r="G99" s="182">
        <v>500</v>
      </c>
      <c r="H99" s="181">
        <f t="shared" si="1"/>
        <v>30000</v>
      </c>
      <c r="I99" s="67"/>
      <c r="J99" s="73"/>
    </row>
    <row r="100" spans="2:10" x14ac:dyDescent="0.25">
      <c r="B100" s="71">
        <v>94</v>
      </c>
      <c r="C100" s="101"/>
      <c r="D100" s="102"/>
      <c r="E100" s="70" t="s">
        <v>444</v>
      </c>
      <c r="F100" s="71">
        <v>60</v>
      </c>
      <c r="G100" s="182">
        <v>500</v>
      </c>
      <c r="H100" s="181">
        <f t="shared" si="1"/>
        <v>30000</v>
      </c>
      <c r="I100" s="67"/>
      <c r="J100" s="73"/>
    </row>
    <row r="101" spans="2:10" x14ac:dyDescent="0.25">
      <c r="B101" s="71">
        <v>95</v>
      </c>
      <c r="C101" s="101"/>
      <c r="D101" s="102"/>
      <c r="E101" s="70" t="s">
        <v>445</v>
      </c>
      <c r="F101" s="71">
        <v>60</v>
      </c>
      <c r="G101" s="182">
        <v>500</v>
      </c>
      <c r="H101" s="181">
        <f t="shared" si="1"/>
        <v>30000</v>
      </c>
      <c r="I101" s="67"/>
      <c r="J101" s="73"/>
    </row>
    <row r="102" spans="2:10" x14ac:dyDescent="0.25">
      <c r="B102" s="71">
        <v>96</v>
      </c>
      <c r="C102" s="101"/>
      <c r="D102" s="102"/>
      <c r="E102" s="70" t="s">
        <v>446</v>
      </c>
      <c r="F102" s="71">
        <v>60</v>
      </c>
      <c r="G102" s="182">
        <v>500</v>
      </c>
      <c r="H102" s="181">
        <f t="shared" si="1"/>
        <v>30000</v>
      </c>
      <c r="I102" s="67"/>
      <c r="J102" s="73"/>
    </row>
    <row r="103" spans="2:10" x14ac:dyDescent="0.25">
      <c r="B103" s="71">
        <v>97</v>
      </c>
      <c r="C103" s="101"/>
      <c r="D103" s="102"/>
      <c r="E103" s="70" t="s">
        <v>447</v>
      </c>
      <c r="F103" s="71">
        <v>60</v>
      </c>
      <c r="G103" s="182">
        <v>430</v>
      </c>
      <c r="H103" s="181">
        <f t="shared" si="1"/>
        <v>25800</v>
      </c>
      <c r="I103" s="67"/>
      <c r="J103" s="73"/>
    </row>
    <row r="104" spans="2:10" x14ac:dyDescent="0.25">
      <c r="B104" s="71">
        <v>98</v>
      </c>
      <c r="C104" s="101"/>
      <c r="D104" s="102"/>
      <c r="E104" s="70" t="s">
        <v>452</v>
      </c>
      <c r="F104" s="71">
        <v>60</v>
      </c>
      <c r="G104" s="182">
        <v>430</v>
      </c>
      <c r="H104" s="181">
        <f t="shared" si="1"/>
        <v>25800</v>
      </c>
      <c r="I104" s="67"/>
      <c r="J104" s="73"/>
    </row>
    <row r="105" spans="2:10" x14ac:dyDescent="0.25">
      <c r="B105" s="71">
        <v>99</v>
      </c>
      <c r="C105" s="101"/>
      <c r="D105" s="102"/>
      <c r="E105" s="70" t="s">
        <v>453</v>
      </c>
      <c r="F105" s="71">
        <v>60</v>
      </c>
      <c r="G105" s="182">
        <v>430</v>
      </c>
      <c r="H105" s="181">
        <f t="shared" si="1"/>
        <v>25800</v>
      </c>
      <c r="I105" s="67"/>
      <c r="J105" s="73"/>
    </row>
    <row r="106" spans="2:10" x14ac:dyDescent="0.25">
      <c r="B106" s="71">
        <v>100</v>
      </c>
      <c r="C106" s="101"/>
      <c r="D106" s="102"/>
      <c r="E106" s="70" t="s">
        <v>454</v>
      </c>
      <c r="F106" s="71">
        <v>60</v>
      </c>
      <c r="G106" s="182">
        <v>430</v>
      </c>
      <c r="H106" s="181">
        <f t="shared" si="1"/>
        <v>25800</v>
      </c>
      <c r="I106" s="67"/>
      <c r="J106" s="73"/>
    </row>
    <row r="107" spans="2:10" x14ac:dyDescent="0.25">
      <c r="B107" s="71">
        <v>101</v>
      </c>
      <c r="C107" s="101"/>
      <c r="D107" s="102"/>
      <c r="E107" s="70" t="s">
        <v>448</v>
      </c>
      <c r="F107" s="71">
        <v>36</v>
      </c>
      <c r="G107" s="182">
        <v>500</v>
      </c>
      <c r="H107" s="181">
        <f t="shared" si="1"/>
        <v>18000</v>
      </c>
      <c r="I107" s="67"/>
      <c r="J107" s="73"/>
    </row>
    <row r="108" spans="2:10" x14ac:dyDescent="0.25">
      <c r="B108" s="71">
        <v>102</v>
      </c>
      <c r="C108" s="101"/>
      <c r="D108" s="102"/>
      <c r="E108" s="70" t="s">
        <v>449</v>
      </c>
      <c r="F108" s="71">
        <v>12</v>
      </c>
      <c r="G108" s="182">
        <v>450</v>
      </c>
      <c r="H108" s="181">
        <f t="shared" si="1"/>
        <v>5400</v>
      </c>
      <c r="I108" s="67"/>
      <c r="J108" s="73"/>
    </row>
    <row r="109" spans="2:10" x14ac:dyDescent="0.25">
      <c r="B109" s="71">
        <v>103</v>
      </c>
      <c r="C109" s="101"/>
      <c r="D109" s="102"/>
      <c r="E109" s="70" t="s">
        <v>498</v>
      </c>
      <c r="F109" s="64">
        <v>50</v>
      </c>
      <c r="G109" s="184">
        <v>250</v>
      </c>
      <c r="H109" s="181">
        <f t="shared" si="1"/>
        <v>12500</v>
      </c>
      <c r="I109" s="203" t="s">
        <v>538</v>
      </c>
      <c r="J109" s="73"/>
    </row>
    <row r="110" spans="2:10" x14ac:dyDescent="0.25">
      <c r="B110" s="71">
        <v>104</v>
      </c>
      <c r="C110" s="101"/>
      <c r="D110" s="102"/>
      <c r="E110" s="70" t="s">
        <v>499</v>
      </c>
      <c r="F110" s="64">
        <v>50</v>
      </c>
      <c r="G110" s="184">
        <v>320</v>
      </c>
      <c r="H110" s="181">
        <f t="shared" si="1"/>
        <v>16000</v>
      </c>
      <c r="I110" s="67"/>
      <c r="J110" s="73"/>
    </row>
    <row r="111" spans="2:10" x14ac:dyDescent="0.25">
      <c r="B111" s="71">
        <v>105</v>
      </c>
      <c r="C111" s="101"/>
      <c r="D111" s="102"/>
      <c r="E111" s="70" t="s">
        <v>500</v>
      </c>
      <c r="F111" s="64">
        <v>10</v>
      </c>
      <c r="G111" s="184">
        <v>200</v>
      </c>
      <c r="H111" s="181">
        <f t="shared" si="1"/>
        <v>2000</v>
      </c>
      <c r="I111" s="67"/>
      <c r="J111" s="73"/>
    </row>
    <row r="112" spans="2:10" x14ac:dyDescent="0.25">
      <c r="B112" s="71">
        <v>106</v>
      </c>
      <c r="C112" s="101"/>
      <c r="D112" s="102"/>
      <c r="E112" s="70" t="s">
        <v>501</v>
      </c>
      <c r="F112" s="64">
        <v>20</v>
      </c>
      <c r="G112" s="184">
        <v>200</v>
      </c>
      <c r="H112" s="181">
        <f t="shared" si="1"/>
        <v>4000</v>
      </c>
      <c r="I112" s="67"/>
      <c r="J112" s="73"/>
    </row>
    <row r="113" spans="2:10" x14ac:dyDescent="0.25">
      <c r="B113" s="71">
        <v>107</v>
      </c>
      <c r="C113" s="101"/>
      <c r="D113" s="102"/>
      <c r="E113" s="70" t="s">
        <v>502</v>
      </c>
      <c r="F113" s="64">
        <v>4</v>
      </c>
      <c r="G113" s="184">
        <v>500</v>
      </c>
      <c r="H113" s="181">
        <f t="shared" si="1"/>
        <v>2000</v>
      </c>
      <c r="I113" s="67"/>
      <c r="J113" s="73"/>
    </row>
    <row r="114" spans="2:10" x14ac:dyDescent="0.25">
      <c r="B114" s="71">
        <v>108</v>
      </c>
      <c r="C114" s="101"/>
      <c r="D114" s="102"/>
      <c r="E114" s="70" t="s">
        <v>503</v>
      </c>
      <c r="F114" s="64">
        <v>40</v>
      </c>
      <c r="G114" s="184">
        <v>20</v>
      </c>
      <c r="H114" s="181">
        <f t="shared" si="1"/>
        <v>800</v>
      </c>
      <c r="I114" s="67"/>
      <c r="J114" s="73"/>
    </row>
    <row r="115" spans="2:10" x14ac:dyDescent="0.25">
      <c r="B115" s="71">
        <v>109</v>
      </c>
      <c r="C115" s="101"/>
      <c r="D115" s="102"/>
      <c r="E115" s="70" t="s">
        <v>539</v>
      </c>
      <c r="F115" s="64">
        <v>40</v>
      </c>
      <c r="G115" s="184">
        <v>300</v>
      </c>
      <c r="H115" s="181">
        <f t="shared" si="1"/>
        <v>12000</v>
      </c>
      <c r="I115" s="67"/>
      <c r="J115" s="73"/>
    </row>
    <row r="116" spans="2:10" x14ac:dyDescent="0.25">
      <c r="B116" s="71">
        <v>110</v>
      </c>
      <c r="C116" s="101"/>
      <c r="D116" s="102"/>
      <c r="E116" s="70" t="s">
        <v>504</v>
      </c>
      <c r="F116" s="64">
        <v>4</v>
      </c>
      <c r="G116" s="184">
        <v>600</v>
      </c>
      <c r="H116" s="181">
        <f t="shared" si="1"/>
        <v>2400</v>
      </c>
      <c r="I116" s="67"/>
      <c r="J116" s="73"/>
    </row>
    <row r="117" spans="2:10" x14ac:dyDescent="0.25">
      <c r="B117" s="71">
        <v>111</v>
      </c>
      <c r="C117" s="101"/>
      <c r="D117" s="102"/>
      <c r="E117" s="70" t="s">
        <v>505</v>
      </c>
      <c r="F117" s="64">
        <v>50</v>
      </c>
      <c r="G117" s="184">
        <v>178</v>
      </c>
      <c r="H117" s="181">
        <f t="shared" si="1"/>
        <v>8900</v>
      </c>
      <c r="I117" s="67"/>
      <c r="J117" s="73"/>
    </row>
    <row r="118" spans="2:10" x14ac:dyDescent="0.25">
      <c r="B118" s="71">
        <v>112</v>
      </c>
      <c r="C118" s="101"/>
      <c r="D118" s="102"/>
      <c r="E118" s="70" t="s">
        <v>506</v>
      </c>
      <c r="F118" s="64">
        <v>5</v>
      </c>
      <c r="G118" s="184">
        <v>720</v>
      </c>
      <c r="H118" s="181">
        <f t="shared" si="1"/>
        <v>3600</v>
      </c>
      <c r="I118" s="67"/>
      <c r="J118" s="73"/>
    </row>
    <row r="119" spans="2:10" x14ac:dyDescent="0.25">
      <c r="B119" s="71">
        <v>113</v>
      </c>
      <c r="C119" s="101"/>
      <c r="D119" s="102"/>
      <c r="E119" s="70" t="s">
        <v>507</v>
      </c>
      <c r="F119" s="64">
        <v>5</v>
      </c>
      <c r="G119" s="184">
        <v>720</v>
      </c>
      <c r="H119" s="181">
        <f t="shared" si="1"/>
        <v>3600</v>
      </c>
      <c r="I119" s="67"/>
      <c r="J119" s="73"/>
    </row>
    <row r="120" spans="2:10" x14ac:dyDescent="0.25">
      <c r="B120" s="71">
        <v>114</v>
      </c>
      <c r="C120" s="101"/>
      <c r="D120" s="102"/>
      <c r="E120" s="70" t="s">
        <v>508</v>
      </c>
      <c r="F120" s="64">
        <v>5</v>
      </c>
      <c r="G120" s="184">
        <v>720</v>
      </c>
      <c r="H120" s="181">
        <f t="shared" si="1"/>
        <v>3600</v>
      </c>
      <c r="I120" s="67"/>
      <c r="J120" s="73"/>
    </row>
    <row r="121" spans="2:10" x14ac:dyDescent="0.25">
      <c r="B121" s="71">
        <v>115</v>
      </c>
      <c r="C121" s="101"/>
      <c r="D121" s="102"/>
      <c r="E121" s="70" t="s">
        <v>509</v>
      </c>
      <c r="F121" s="64">
        <v>5</v>
      </c>
      <c r="G121" s="184">
        <v>720</v>
      </c>
      <c r="H121" s="181">
        <f t="shared" si="1"/>
        <v>3600</v>
      </c>
      <c r="I121" s="67"/>
      <c r="J121" s="73"/>
    </row>
    <row r="122" spans="2:10" x14ac:dyDescent="0.25">
      <c r="B122" s="71">
        <v>116</v>
      </c>
      <c r="C122" s="101"/>
      <c r="D122" s="102"/>
      <c r="E122" s="70" t="s">
        <v>511</v>
      </c>
      <c r="F122" s="64">
        <v>5</v>
      </c>
      <c r="G122" s="184">
        <v>720</v>
      </c>
      <c r="H122" s="181">
        <f t="shared" si="1"/>
        <v>3600</v>
      </c>
      <c r="I122" s="67"/>
      <c r="J122" s="73"/>
    </row>
    <row r="123" spans="2:10" x14ac:dyDescent="0.25">
      <c r="B123" s="71">
        <v>117</v>
      </c>
      <c r="C123" s="101"/>
      <c r="D123" s="102"/>
      <c r="E123" s="70" t="s">
        <v>512</v>
      </c>
      <c r="F123" s="64">
        <v>10</v>
      </c>
      <c r="G123" s="184">
        <v>250</v>
      </c>
      <c r="H123" s="181">
        <f t="shared" si="1"/>
        <v>2500</v>
      </c>
      <c r="I123" s="67"/>
      <c r="J123" s="73"/>
    </row>
    <row r="124" spans="2:10" x14ac:dyDescent="0.25">
      <c r="B124" s="71">
        <v>118</v>
      </c>
      <c r="C124" s="101"/>
      <c r="D124" s="102"/>
      <c r="E124" s="70" t="s">
        <v>513</v>
      </c>
      <c r="F124" s="64">
        <v>10</v>
      </c>
      <c r="G124" s="184">
        <v>250</v>
      </c>
      <c r="H124" s="182">
        <f>F124*G124</f>
        <v>2500</v>
      </c>
      <c r="I124" s="67"/>
      <c r="J124" s="73"/>
    </row>
    <row r="125" spans="2:10" x14ac:dyDescent="0.25">
      <c r="B125" s="71">
        <v>119</v>
      </c>
      <c r="C125" s="101"/>
      <c r="D125" s="102"/>
      <c r="E125" s="70" t="s">
        <v>514</v>
      </c>
      <c r="F125" s="64">
        <v>10</v>
      </c>
      <c r="G125" s="184">
        <v>250</v>
      </c>
      <c r="H125" s="182">
        <f t="shared" ref="H125:H135" si="2">F125*G125</f>
        <v>2500</v>
      </c>
      <c r="I125" s="67"/>
      <c r="J125" s="73"/>
    </row>
    <row r="126" spans="2:10" x14ac:dyDescent="0.25">
      <c r="B126" s="71">
        <v>120</v>
      </c>
      <c r="C126" s="101"/>
      <c r="D126" s="102"/>
      <c r="E126" s="70" t="s">
        <v>515</v>
      </c>
      <c r="F126" s="64">
        <v>10</v>
      </c>
      <c r="G126" s="184">
        <v>250</v>
      </c>
      <c r="H126" s="182">
        <f t="shared" si="2"/>
        <v>2500</v>
      </c>
      <c r="I126" s="67"/>
      <c r="J126" s="73"/>
    </row>
    <row r="127" spans="2:10" x14ac:dyDescent="0.25">
      <c r="B127" s="71">
        <v>121</v>
      </c>
      <c r="C127" s="101"/>
      <c r="D127" s="102"/>
      <c r="E127" s="70" t="s">
        <v>516</v>
      </c>
      <c r="F127" s="64">
        <v>10</v>
      </c>
      <c r="G127" s="184">
        <v>250</v>
      </c>
      <c r="H127" s="182">
        <f t="shared" si="2"/>
        <v>2500</v>
      </c>
      <c r="I127" s="67"/>
      <c r="J127" s="73"/>
    </row>
    <row r="128" spans="2:10" x14ac:dyDescent="0.25">
      <c r="B128" s="71">
        <v>122</v>
      </c>
      <c r="C128" s="101"/>
      <c r="D128" s="102"/>
      <c r="E128" s="70" t="s">
        <v>518</v>
      </c>
      <c r="F128" s="64">
        <v>10</v>
      </c>
      <c r="G128" s="184">
        <v>250</v>
      </c>
      <c r="H128" s="182">
        <f t="shared" si="2"/>
        <v>2500</v>
      </c>
      <c r="I128" s="67"/>
      <c r="J128" s="73"/>
    </row>
    <row r="129" spans="2:10" x14ac:dyDescent="0.25">
      <c r="B129" s="71">
        <v>123</v>
      </c>
      <c r="C129" s="101"/>
      <c r="D129" s="102"/>
      <c r="E129" s="70" t="s">
        <v>517</v>
      </c>
      <c r="F129" s="64">
        <v>10</v>
      </c>
      <c r="G129" s="184">
        <v>250</v>
      </c>
      <c r="H129" s="182">
        <f t="shared" si="2"/>
        <v>2500</v>
      </c>
      <c r="I129" s="67"/>
      <c r="J129" s="73"/>
    </row>
    <row r="130" spans="2:10" x14ac:dyDescent="0.25">
      <c r="B130" s="71">
        <v>124</v>
      </c>
      <c r="C130" s="101"/>
      <c r="D130" s="102"/>
      <c r="E130" s="70" t="s">
        <v>519</v>
      </c>
      <c r="F130" s="64">
        <v>10</v>
      </c>
      <c r="G130" s="184">
        <v>250</v>
      </c>
      <c r="H130" s="182">
        <f t="shared" si="2"/>
        <v>2500</v>
      </c>
      <c r="I130" s="67"/>
      <c r="J130" s="73"/>
    </row>
    <row r="131" spans="2:10" x14ac:dyDescent="0.25">
      <c r="B131" s="71">
        <v>125</v>
      </c>
      <c r="C131" s="101"/>
      <c r="D131" s="102"/>
      <c r="E131" s="70" t="s">
        <v>520</v>
      </c>
      <c r="F131" s="64">
        <v>10</v>
      </c>
      <c r="G131" s="184">
        <v>250</v>
      </c>
      <c r="H131" s="182">
        <f t="shared" si="2"/>
        <v>2500</v>
      </c>
      <c r="I131" s="67"/>
      <c r="J131" s="73"/>
    </row>
    <row r="132" spans="2:10" x14ac:dyDescent="0.25">
      <c r="B132" s="71">
        <v>126</v>
      </c>
      <c r="C132" s="101"/>
      <c r="D132" s="102"/>
      <c r="E132" s="70" t="s">
        <v>521</v>
      </c>
      <c r="F132" s="64">
        <v>10</v>
      </c>
      <c r="G132" s="184">
        <v>250</v>
      </c>
      <c r="H132" s="182">
        <f t="shared" si="2"/>
        <v>2500</v>
      </c>
      <c r="I132" s="67"/>
      <c r="J132" s="73"/>
    </row>
    <row r="133" spans="2:10" ht="24" x14ac:dyDescent="0.25">
      <c r="B133" s="71">
        <v>127</v>
      </c>
      <c r="C133" s="101"/>
      <c r="D133" s="102"/>
      <c r="E133" s="145" t="s">
        <v>510</v>
      </c>
      <c r="F133" s="64">
        <v>24</v>
      </c>
      <c r="G133" s="184">
        <v>150</v>
      </c>
      <c r="H133" s="182">
        <f t="shared" si="2"/>
        <v>3600</v>
      </c>
      <c r="I133" s="67"/>
      <c r="J133" s="73"/>
    </row>
    <row r="134" spans="2:10" x14ac:dyDescent="0.25">
      <c r="B134" s="71">
        <v>128</v>
      </c>
      <c r="C134" s="101"/>
      <c r="D134" s="102"/>
      <c r="E134" s="70" t="s">
        <v>522</v>
      </c>
      <c r="F134" s="64">
        <v>40</v>
      </c>
      <c r="G134" s="184">
        <v>150</v>
      </c>
      <c r="H134" s="182">
        <f t="shared" si="2"/>
        <v>6000</v>
      </c>
      <c r="I134" s="67"/>
      <c r="J134" s="73"/>
    </row>
    <row r="135" spans="2:10" x14ac:dyDescent="0.25">
      <c r="B135" s="71">
        <v>129</v>
      </c>
      <c r="C135" s="101"/>
      <c r="D135" s="102"/>
      <c r="E135" s="70" t="s">
        <v>523</v>
      </c>
      <c r="F135" s="64">
        <v>50</v>
      </c>
      <c r="G135" s="184">
        <v>200</v>
      </c>
      <c r="H135" s="182">
        <f t="shared" si="2"/>
        <v>10000</v>
      </c>
      <c r="I135" s="67"/>
      <c r="J135" s="73"/>
    </row>
    <row r="136" spans="2:10" x14ac:dyDescent="0.25">
      <c r="B136" s="70"/>
      <c r="C136" s="222" t="s">
        <v>466</v>
      </c>
      <c r="D136" s="223"/>
      <c r="E136" s="70"/>
      <c r="F136" s="71"/>
      <c r="G136" s="185">
        <f>SUM(G7:G135)</f>
        <v>34618</v>
      </c>
      <c r="H136" s="182"/>
      <c r="I136" s="55"/>
    </row>
    <row r="137" spans="2:10" ht="15.75" x14ac:dyDescent="0.25">
      <c r="B137" s="67"/>
      <c r="C137" s="225" t="s">
        <v>282</v>
      </c>
      <c r="D137" s="226"/>
      <c r="E137" s="67"/>
      <c r="F137" s="69"/>
      <c r="G137" s="156"/>
      <c r="H137" s="195">
        <f>SUM(H7:H136)</f>
        <v>3644610</v>
      </c>
      <c r="I137" s="55"/>
    </row>
    <row r="138" spans="2:10" ht="15.75" x14ac:dyDescent="0.25">
      <c r="B138" s="196"/>
      <c r="C138" s="197"/>
      <c r="D138" s="197"/>
      <c r="E138" s="196"/>
      <c r="F138" s="198"/>
      <c r="G138" s="199"/>
      <c r="H138" s="200"/>
      <c r="I138" s="154"/>
    </row>
    <row r="139" spans="2:10" ht="15.75" x14ac:dyDescent="0.25">
      <c r="B139" s="196"/>
      <c r="C139" s="197"/>
      <c r="D139" s="197"/>
      <c r="E139" s="196"/>
      <c r="F139" s="198"/>
      <c r="G139" s="199"/>
      <c r="H139" s="200"/>
      <c r="I139" s="154"/>
    </row>
    <row r="145" spans="3:6" x14ac:dyDescent="0.25">
      <c r="C145" t="s">
        <v>590</v>
      </c>
      <c r="D145" t="s">
        <v>4</v>
      </c>
      <c r="E145" t="s">
        <v>591</v>
      </c>
      <c r="F145" t="s">
        <v>592</v>
      </c>
    </row>
    <row r="146" spans="3:6" x14ac:dyDescent="0.25">
      <c r="C146" t="s">
        <v>587</v>
      </c>
      <c r="D146">
        <v>200</v>
      </c>
      <c r="E146">
        <v>85</v>
      </c>
      <c r="F146">
        <f>D146*E146</f>
        <v>17000</v>
      </c>
    </row>
    <row r="147" spans="3:6" x14ac:dyDescent="0.25">
      <c r="C147" t="s">
        <v>588</v>
      </c>
      <c r="D147">
        <v>100</v>
      </c>
      <c r="E147">
        <v>120</v>
      </c>
      <c r="F147">
        <f t="shared" ref="F147:F151" si="3">D147*E147</f>
        <v>12000</v>
      </c>
    </row>
    <row r="148" spans="3:6" x14ac:dyDescent="0.25">
      <c r="C148" t="s">
        <v>589</v>
      </c>
      <c r="D148">
        <v>500</v>
      </c>
      <c r="E148">
        <v>50</v>
      </c>
      <c r="F148">
        <f t="shared" si="3"/>
        <v>25000</v>
      </c>
    </row>
    <row r="149" spans="3:6" x14ac:dyDescent="0.25">
      <c r="C149" t="s">
        <v>593</v>
      </c>
      <c r="D149">
        <v>1000</v>
      </c>
      <c r="E149">
        <v>150</v>
      </c>
      <c r="F149">
        <f t="shared" si="3"/>
        <v>150000</v>
      </c>
    </row>
    <row r="150" spans="3:6" x14ac:dyDescent="0.25">
      <c r="C150" t="s">
        <v>594</v>
      </c>
      <c r="D150">
        <v>1000</v>
      </c>
      <c r="E150">
        <v>150</v>
      </c>
      <c r="F150" s="23">
        <f t="shared" si="3"/>
        <v>150000</v>
      </c>
    </row>
    <row r="151" spans="3:6" x14ac:dyDescent="0.25">
      <c r="C151" t="s">
        <v>595</v>
      </c>
      <c r="D151">
        <v>250</v>
      </c>
      <c r="E151">
        <v>40</v>
      </c>
      <c r="F151">
        <f t="shared" si="3"/>
        <v>10000</v>
      </c>
    </row>
    <row r="152" spans="3:6" x14ac:dyDescent="0.25">
      <c r="F152">
        <f>SUM(F146:F151)</f>
        <v>364000</v>
      </c>
    </row>
  </sheetData>
  <mergeCells count="4">
    <mergeCell ref="B1:H1"/>
    <mergeCell ref="B2:G2"/>
    <mergeCell ref="C136:D136"/>
    <mergeCell ref="C137:D137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4"/>
  <sheetViews>
    <sheetView workbookViewId="0">
      <selection activeCell="B2" sqref="B2:G2"/>
    </sheetView>
  </sheetViews>
  <sheetFormatPr defaultRowHeight="15" x14ac:dyDescent="0.25"/>
  <cols>
    <col min="3" max="3" width="12.7109375" bestFit="1" customWidth="1"/>
    <col min="4" max="4" width="12.42578125" bestFit="1" customWidth="1"/>
    <col min="5" max="5" width="26" bestFit="1" customWidth="1"/>
    <col min="6" max="6" width="4.5703125" bestFit="1" customWidth="1"/>
    <col min="7" max="7" width="12.7109375" bestFit="1" customWidth="1"/>
    <col min="8" max="8" width="17.5703125" bestFit="1" customWidth="1"/>
    <col min="9" max="9" width="30.42578125" customWidth="1"/>
  </cols>
  <sheetData>
    <row r="2" spans="2:9" x14ac:dyDescent="0.25">
      <c r="B2" s="224" t="s">
        <v>581</v>
      </c>
      <c r="C2" s="224"/>
      <c r="D2" s="224"/>
      <c r="E2" s="224"/>
      <c r="F2" s="224"/>
      <c r="G2" s="224"/>
      <c r="H2" s="201"/>
      <c r="I2" s="154"/>
    </row>
    <row r="3" spans="2:9" x14ac:dyDescent="0.25">
      <c r="B3" s="38"/>
      <c r="C3" s="38"/>
      <c r="D3" s="38"/>
      <c r="E3" s="38"/>
      <c r="F3" s="36"/>
      <c r="G3" s="158"/>
      <c r="H3" s="201"/>
      <c r="I3" s="202"/>
    </row>
    <row r="4" spans="2:9" ht="35.25" x14ac:dyDescent="0.25">
      <c r="B4" s="49" t="s">
        <v>153</v>
      </c>
      <c r="C4" s="173" t="s">
        <v>1</v>
      </c>
      <c r="D4" s="173" t="s">
        <v>2</v>
      </c>
      <c r="E4" s="48" t="s">
        <v>101</v>
      </c>
      <c r="F4" s="173" t="s">
        <v>4</v>
      </c>
      <c r="G4" s="72" t="s">
        <v>540</v>
      </c>
      <c r="H4" s="63" t="s">
        <v>542</v>
      </c>
      <c r="I4" s="58" t="s">
        <v>541</v>
      </c>
    </row>
    <row r="5" spans="2:9" x14ac:dyDescent="0.25">
      <c r="B5" s="173" t="s">
        <v>8</v>
      </c>
      <c r="C5" s="173" t="s">
        <v>10</v>
      </c>
      <c r="D5" s="173" t="s">
        <v>11</v>
      </c>
      <c r="E5" s="173" t="s">
        <v>12</v>
      </c>
      <c r="F5" s="173" t="s">
        <v>14</v>
      </c>
      <c r="G5" s="159" t="s">
        <v>15</v>
      </c>
      <c r="H5" s="155"/>
      <c r="I5" s="55"/>
    </row>
    <row r="6" spans="2:9" x14ac:dyDescent="0.25">
      <c r="B6" s="173"/>
      <c r="C6" s="173" t="s">
        <v>543</v>
      </c>
      <c r="D6" s="43">
        <v>2201900002</v>
      </c>
      <c r="E6" s="43" t="s">
        <v>173</v>
      </c>
      <c r="F6" s="44"/>
      <c r="G6" s="160"/>
      <c r="H6" s="155"/>
      <c r="I6" s="55"/>
    </row>
    <row r="7" spans="2:9" x14ac:dyDescent="0.25">
      <c r="B7" s="44">
        <v>1</v>
      </c>
      <c r="C7" s="45"/>
      <c r="D7" s="45"/>
      <c r="E7" s="45" t="s">
        <v>144</v>
      </c>
      <c r="F7" s="44">
        <v>10</v>
      </c>
      <c r="G7" s="186">
        <v>600</v>
      </c>
      <c r="H7" s="182">
        <f t="shared" ref="H7:H72" si="0">F7*G7</f>
        <v>6000</v>
      </c>
      <c r="I7" s="180" t="s">
        <v>245</v>
      </c>
    </row>
    <row r="8" spans="2:9" x14ac:dyDescent="0.25">
      <c r="B8" s="44">
        <v>2</v>
      </c>
      <c r="C8" s="45"/>
      <c r="D8" s="45"/>
      <c r="E8" s="45" t="s">
        <v>145</v>
      </c>
      <c r="F8" s="44">
        <v>10</v>
      </c>
      <c r="G8" s="186">
        <v>450</v>
      </c>
      <c r="H8" s="182">
        <f t="shared" si="0"/>
        <v>4500</v>
      </c>
      <c r="I8" s="55"/>
    </row>
    <row r="9" spans="2:9" x14ac:dyDescent="0.25">
      <c r="B9" s="44">
        <v>3</v>
      </c>
      <c r="C9" s="45"/>
      <c r="D9" s="45"/>
      <c r="E9" s="45" t="s">
        <v>305</v>
      </c>
      <c r="F9" s="44">
        <v>20</v>
      </c>
      <c r="G9" s="186">
        <v>600</v>
      </c>
      <c r="H9" s="182">
        <f t="shared" si="0"/>
        <v>12000</v>
      </c>
      <c r="I9" s="41" t="s">
        <v>303</v>
      </c>
    </row>
    <row r="10" spans="2:9" x14ac:dyDescent="0.25">
      <c r="B10" s="44">
        <v>4</v>
      </c>
      <c r="C10" s="45"/>
      <c r="D10" s="45"/>
      <c r="E10" s="45" t="s">
        <v>320</v>
      </c>
      <c r="F10" s="44">
        <v>10</v>
      </c>
      <c r="G10" s="186">
        <v>500</v>
      </c>
      <c r="H10" s="182">
        <f t="shared" si="0"/>
        <v>5000</v>
      </c>
      <c r="I10" s="55"/>
    </row>
    <row r="11" spans="2:9" x14ac:dyDescent="0.25">
      <c r="B11" s="44">
        <v>5</v>
      </c>
      <c r="C11" s="45"/>
      <c r="D11" s="45"/>
      <c r="E11" s="45" t="s">
        <v>304</v>
      </c>
      <c r="F11" s="44">
        <v>10</v>
      </c>
      <c r="G11" s="186">
        <v>500</v>
      </c>
      <c r="H11" s="182">
        <f t="shared" si="0"/>
        <v>5000</v>
      </c>
      <c r="I11" s="55"/>
    </row>
    <row r="12" spans="2:9" ht="26.25" x14ac:dyDescent="0.25">
      <c r="B12" s="44">
        <v>6</v>
      </c>
      <c r="C12" s="45"/>
      <c r="D12" s="45"/>
      <c r="E12" s="52" t="s">
        <v>307</v>
      </c>
      <c r="F12" s="44">
        <v>5</v>
      </c>
      <c r="G12" s="186">
        <v>700</v>
      </c>
      <c r="H12" s="182">
        <f t="shared" si="0"/>
        <v>3500</v>
      </c>
      <c r="I12" s="55"/>
    </row>
    <row r="13" spans="2:9" x14ac:dyDescent="0.25">
      <c r="B13" s="44">
        <v>7</v>
      </c>
      <c r="C13" s="45"/>
      <c r="D13" s="45"/>
      <c r="E13" s="45" t="s">
        <v>306</v>
      </c>
      <c r="F13" s="44">
        <v>10</v>
      </c>
      <c r="G13" s="186">
        <v>200</v>
      </c>
      <c r="H13" s="182">
        <f t="shared" si="0"/>
        <v>2000</v>
      </c>
      <c r="I13" s="55"/>
    </row>
    <row r="14" spans="2:9" x14ac:dyDescent="0.25">
      <c r="B14" s="44">
        <v>8</v>
      </c>
      <c r="C14" s="45"/>
      <c r="D14" s="45"/>
      <c r="E14" s="45" t="s">
        <v>163</v>
      </c>
      <c r="F14" s="44">
        <v>10</v>
      </c>
      <c r="G14" s="186">
        <v>250</v>
      </c>
      <c r="H14" s="182">
        <f t="shared" si="0"/>
        <v>2500</v>
      </c>
      <c r="I14" s="55"/>
    </row>
    <row r="15" spans="2:9" ht="26.25" x14ac:dyDescent="0.25">
      <c r="B15" s="44">
        <v>9</v>
      </c>
      <c r="C15" s="45"/>
      <c r="D15" s="45"/>
      <c r="E15" s="52" t="s">
        <v>308</v>
      </c>
      <c r="F15" s="44">
        <v>25</v>
      </c>
      <c r="G15" s="186">
        <v>70</v>
      </c>
      <c r="H15" s="182">
        <f t="shared" si="0"/>
        <v>1750</v>
      </c>
      <c r="I15" s="55"/>
    </row>
    <row r="16" spans="2:9" ht="26.25" x14ac:dyDescent="0.25">
      <c r="B16" s="44">
        <v>10</v>
      </c>
      <c r="C16" s="45"/>
      <c r="D16" s="45"/>
      <c r="E16" s="52" t="s">
        <v>321</v>
      </c>
      <c r="F16" s="44">
        <v>15</v>
      </c>
      <c r="G16" s="186">
        <v>80</v>
      </c>
      <c r="H16" s="182">
        <f t="shared" si="0"/>
        <v>1200</v>
      </c>
      <c r="I16" s="55"/>
    </row>
    <row r="17" spans="2:9" x14ac:dyDescent="0.25">
      <c r="B17" s="44">
        <v>11</v>
      </c>
      <c r="C17" s="45"/>
      <c r="D17" s="45"/>
      <c r="E17" s="45" t="s">
        <v>425</v>
      </c>
      <c r="F17" s="44">
        <v>5</v>
      </c>
      <c r="G17" s="186">
        <v>800</v>
      </c>
      <c r="H17" s="182">
        <f t="shared" si="0"/>
        <v>4000</v>
      </c>
      <c r="I17" s="55"/>
    </row>
    <row r="18" spans="2:9" x14ac:dyDescent="0.25">
      <c r="B18" s="44">
        <v>12</v>
      </c>
      <c r="C18" s="45"/>
      <c r="D18" s="45"/>
      <c r="E18" s="45" t="s">
        <v>341</v>
      </c>
      <c r="F18" s="44">
        <v>5</v>
      </c>
      <c r="G18" s="186">
        <v>800</v>
      </c>
      <c r="H18" s="182">
        <f t="shared" si="0"/>
        <v>4000</v>
      </c>
      <c r="I18" s="55"/>
    </row>
    <row r="19" spans="2:9" x14ac:dyDescent="0.25">
      <c r="B19" s="44">
        <v>13</v>
      </c>
      <c r="C19" s="45"/>
      <c r="D19" s="45"/>
      <c r="E19" s="45" t="s">
        <v>215</v>
      </c>
      <c r="F19" s="44">
        <v>12</v>
      </c>
      <c r="G19" s="186">
        <v>600</v>
      </c>
      <c r="H19" s="182">
        <f t="shared" si="0"/>
        <v>7200</v>
      </c>
      <c r="I19" s="55"/>
    </row>
    <row r="20" spans="2:9" x14ac:dyDescent="0.25">
      <c r="B20" s="44">
        <v>14</v>
      </c>
      <c r="C20" s="45"/>
      <c r="D20" s="45"/>
      <c r="E20" s="45" t="s">
        <v>309</v>
      </c>
      <c r="F20" s="44">
        <v>50</v>
      </c>
      <c r="G20" s="186">
        <v>350</v>
      </c>
      <c r="H20" s="182">
        <f t="shared" si="0"/>
        <v>17500</v>
      </c>
      <c r="I20" s="55"/>
    </row>
    <row r="21" spans="2:9" x14ac:dyDescent="0.25">
      <c r="B21" s="75">
        <v>15</v>
      </c>
      <c r="C21" s="55"/>
      <c r="D21" s="55"/>
      <c r="E21" s="50" t="s">
        <v>310</v>
      </c>
      <c r="F21" s="97">
        <v>5</v>
      </c>
      <c r="G21" s="186">
        <v>1500</v>
      </c>
      <c r="H21" s="182">
        <f t="shared" si="0"/>
        <v>7500</v>
      </c>
      <c r="I21" s="55"/>
    </row>
    <row r="22" spans="2:9" ht="26.25" x14ac:dyDescent="0.25">
      <c r="B22" s="44">
        <v>16</v>
      </c>
      <c r="C22" s="96"/>
      <c r="D22" s="96"/>
      <c r="E22" s="189" t="s">
        <v>427</v>
      </c>
      <c r="F22" s="44">
        <v>18</v>
      </c>
      <c r="G22" s="186">
        <v>40</v>
      </c>
      <c r="H22" s="182">
        <f t="shared" si="0"/>
        <v>720</v>
      </c>
      <c r="I22" s="82" t="s">
        <v>95</v>
      </c>
    </row>
    <row r="23" spans="2:9" ht="26.25" x14ac:dyDescent="0.25">
      <c r="B23" s="44">
        <v>17</v>
      </c>
      <c r="C23" s="45"/>
      <c r="D23" s="45"/>
      <c r="E23" s="52" t="s">
        <v>426</v>
      </c>
      <c r="F23" s="44">
        <v>18</v>
      </c>
      <c r="G23" s="186">
        <v>40</v>
      </c>
      <c r="H23" s="182">
        <f t="shared" si="0"/>
        <v>720</v>
      </c>
      <c r="I23" s="55"/>
    </row>
    <row r="24" spans="2:9" x14ac:dyDescent="0.25">
      <c r="B24" s="44">
        <v>18</v>
      </c>
      <c r="C24" s="45"/>
      <c r="D24" s="45"/>
      <c r="E24" s="45" t="s">
        <v>302</v>
      </c>
      <c r="F24" s="44">
        <v>10</v>
      </c>
      <c r="G24" s="186">
        <v>50</v>
      </c>
      <c r="H24" s="182">
        <f t="shared" si="0"/>
        <v>500</v>
      </c>
      <c r="I24" s="55"/>
    </row>
    <row r="25" spans="2:9" x14ac:dyDescent="0.25">
      <c r="B25" s="44">
        <v>19</v>
      </c>
      <c r="C25" s="45"/>
      <c r="D25" s="45"/>
      <c r="E25" s="45" t="s">
        <v>349</v>
      </c>
      <c r="F25" s="44">
        <v>20</v>
      </c>
      <c r="G25" s="186">
        <v>500</v>
      </c>
      <c r="H25" s="182">
        <f t="shared" si="0"/>
        <v>10000</v>
      </c>
      <c r="I25" s="55"/>
    </row>
    <row r="26" spans="2:9" x14ac:dyDescent="0.25">
      <c r="B26" s="44">
        <v>20</v>
      </c>
      <c r="C26" s="45"/>
      <c r="D26" s="45"/>
      <c r="E26" s="45" t="s">
        <v>87</v>
      </c>
      <c r="F26" s="44">
        <v>40</v>
      </c>
      <c r="G26" s="186">
        <v>250</v>
      </c>
      <c r="H26" s="182">
        <f t="shared" si="0"/>
        <v>10000</v>
      </c>
      <c r="I26" s="55"/>
    </row>
    <row r="27" spans="2:9" x14ac:dyDescent="0.25">
      <c r="B27" s="44">
        <v>21</v>
      </c>
      <c r="C27" s="45"/>
      <c r="D27" s="45"/>
      <c r="E27" s="45" t="s">
        <v>340</v>
      </c>
      <c r="F27" s="44">
        <v>40</v>
      </c>
      <c r="G27" s="186">
        <v>250</v>
      </c>
      <c r="H27" s="182">
        <f t="shared" si="0"/>
        <v>10000</v>
      </c>
      <c r="I27" s="55"/>
    </row>
    <row r="28" spans="2:9" x14ac:dyDescent="0.25">
      <c r="B28" s="44">
        <v>23</v>
      </c>
      <c r="C28" s="45"/>
      <c r="D28" s="45"/>
      <c r="E28" s="45" t="s">
        <v>351</v>
      </c>
      <c r="F28" s="44">
        <v>100</v>
      </c>
      <c r="G28" s="186">
        <v>350</v>
      </c>
      <c r="H28" s="182">
        <f t="shared" si="0"/>
        <v>35000</v>
      </c>
      <c r="I28" s="41" t="s">
        <v>246</v>
      </c>
    </row>
    <row r="29" spans="2:9" x14ac:dyDescent="0.25">
      <c r="B29" s="44">
        <v>24</v>
      </c>
      <c r="C29" s="45"/>
      <c r="D29" s="45"/>
      <c r="E29" s="45" t="s">
        <v>293</v>
      </c>
      <c r="F29" s="44">
        <v>100</v>
      </c>
      <c r="G29" s="186">
        <v>500</v>
      </c>
      <c r="H29" s="182">
        <f t="shared" si="0"/>
        <v>50000</v>
      </c>
      <c r="I29" s="55"/>
    </row>
    <row r="30" spans="2:9" x14ac:dyDescent="0.25">
      <c r="B30" s="44">
        <v>25</v>
      </c>
      <c r="C30" s="45"/>
      <c r="D30" s="45"/>
      <c r="E30" s="45" t="s">
        <v>294</v>
      </c>
      <c r="F30" s="44">
        <v>15</v>
      </c>
      <c r="G30" s="186">
        <v>450</v>
      </c>
      <c r="H30" s="182">
        <f t="shared" si="0"/>
        <v>6750</v>
      </c>
      <c r="I30" s="55"/>
    </row>
    <row r="31" spans="2:9" x14ac:dyDescent="0.25">
      <c r="B31" s="44">
        <v>26</v>
      </c>
      <c r="C31" s="45"/>
      <c r="D31" s="45"/>
      <c r="E31" s="45" t="s">
        <v>295</v>
      </c>
      <c r="F31" s="44">
        <v>10</v>
      </c>
      <c r="G31" s="186">
        <v>450</v>
      </c>
      <c r="H31" s="182">
        <f t="shared" si="0"/>
        <v>4500</v>
      </c>
      <c r="I31" s="55"/>
    </row>
    <row r="32" spans="2:9" x14ac:dyDescent="0.25">
      <c r="B32" s="44">
        <v>27</v>
      </c>
      <c r="C32" s="45"/>
      <c r="D32" s="45"/>
      <c r="E32" s="45" t="s">
        <v>296</v>
      </c>
      <c r="F32" s="44">
        <v>10</v>
      </c>
      <c r="G32" s="186">
        <v>350</v>
      </c>
      <c r="H32" s="182">
        <f t="shared" si="0"/>
        <v>3500</v>
      </c>
      <c r="I32" s="55"/>
    </row>
    <row r="33" spans="2:9" x14ac:dyDescent="0.25">
      <c r="B33" s="44">
        <v>28</v>
      </c>
      <c r="C33" s="45"/>
      <c r="D33" s="45"/>
      <c r="E33" s="45" t="s">
        <v>297</v>
      </c>
      <c r="F33" s="44">
        <v>30</v>
      </c>
      <c r="G33" s="186">
        <v>1500</v>
      </c>
      <c r="H33" s="182">
        <f t="shared" si="0"/>
        <v>45000</v>
      </c>
      <c r="I33" s="55"/>
    </row>
    <row r="34" spans="2:9" x14ac:dyDescent="0.25">
      <c r="B34" s="44">
        <v>29</v>
      </c>
      <c r="C34" s="45"/>
      <c r="D34" s="45"/>
      <c r="E34" s="45" t="s">
        <v>298</v>
      </c>
      <c r="F34" s="44">
        <v>20</v>
      </c>
      <c r="G34" s="186">
        <v>1500</v>
      </c>
      <c r="H34" s="182">
        <f t="shared" si="0"/>
        <v>30000</v>
      </c>
      <c r="I34" s="55"/>
    </row>
    <row r="35" spans="2:9" ht="26.25" x14ac:dyDescent="0.25">
      <c r="B35" s="44">
        <v>30</v>
      </c>
      <c r="C35" s="45"/>
      <c r="D35" s="45"/>
      <c r="E35" s="52" t="s">
        <v>299</v>
      </c>
      <c r="F35" s="44">
        <v>10</v>
      </c>
      <c r="G35" s="186">
        <v>400</v>
      </c>
      <c r="H35" s="182">
        <f t="shared" si="0"/>
        <v>4000</v>
      </c>
      <c r="I35" s="55"/>
    </row>
    <row r="36" spans="2:9" ht="26.25" x14ac:dyDescent="0.25">
      <c r="B36" s="44">
        <v>31</v>
      </c>
      <c r="C36" s="45"/>
      <c r="D36" s="45"/>
      <c r="E36" s="52" t="s">
        <v>300</v>
      </c>
      <c r="F36" s="44">
        <v>20</v>
      </c>
      <c r="G36" s="186">
        <v>400</v>
      </c>
      <c r="H36" s="182">
        <f t="shared" si="0"/>
        <v>8000</v>
      </c>
      <c r="I36" s="55"/>
    </row>
    <row r="37" spans="2:9" ht="26.25" x14ac:dyDescent="0.25">
      <c r="B37" s="44">
        <v>32</v>
      </c>
      <c r="C37" s="45"/>
      <c r="D37" s="45"/>
      <c r="E37" s="52" t="s">
        <v>301</v>
      </c>
      <c r="F37" s="44">
        <v>10</v>
      </c>
      <c r="G37" s="186">
        <v>250</v>
      </c>
      <c r="H37" s="182">
        <f t="shared" si="0"/>
        <v>2500</v>
      </c>
      <c r="I37" s="55"/>
    </row>
    <row r="38" spans="2:9" x14ac:dyDescent="0.25">
      <c r="B38" s="44">
        <v>33</v>
      </c>
      <c r="C38" s="45"/>
      <c r="D38" s="45"/>
      <c r="E38" s="45" t="s">
        <v>147</v>
      </c>
      <c r="F38" s="44">
        <v>20</v>
      </c>
      <c r="G38" s="186">
        <v>250</v>
      </c>
      <c r="H38" s="182">
        <f t="shared" si="0"/>
        <v>5000</v>
      </c>
      <c r="I38" s="55"/>
    </row>
    <row r="39" spans="2:9" x14ac:dyDescent="0.25">
      <c r="B39" s="44">
        <v>34</v>
      </c>
      <c r="C39" s="45"/>
      <c r="D39" s="45"/>
      <c r="E39" s="45" t="s">
        <v>69</v>
      </c>
      <c r="F39" s="44">
        <v>20</v>
      </c>
      <c r="G39" s="186">
        <v>150</v>
      </c>
      <c r="H39" s="182">
        <f t="shared" si="0"/>
        <v>3000</v>
      </c>
      <c r="I39" s="55"/>
    </row>
    <row r="40" spans="2:9" x14ac:dyDescent="0.25">
      <c r="B40" s="44">
        <v>35</v>
      </c>
      <c r="C40" s="45"/>
      <c r="D40" s="45"/>
      <c r="E40" s="45" t="s">
        <v>70</v>
      </c>
      <c r="F40" s="44">
        <v>10</v>
      </c>
      <c r="G40" s="186">
        <v>150</v>
      </c>
      <c r="H40" s="182">
        <f t="shared" si="0"/>
        <v>1500</v>
      </c>
      <c r="I40" s="55"/>
    </row>
    <row r="41" spans="2:9" x14ac:dyDescent="0.25">
      <c r="B41" s="44">
        <v>36</v>
      </c>
      <c r="C41" s="45"/>
      <c r="D41" s="45"/>
      <c r="E41" s="45" t="s">
        <v>146</v>
      </c>
      <c r="F41" s="44">
        <v>20</v>
      </c>
      <c r="G41" s="186">
        <v>500</v>
      </c>
      <c r="H41" s="182">
        <f t="shared" si="0"/>
        <v>10000</v>
      </c>
      <c r="I41" s="55"/>
    </row>
    <row r="42" spans="2:9" x14ac:dyDescent="0.25">
      <c r="B42" s="44">
        <v>37</v>
      </c>
      <c r="C42" s="45"/>
      <c r="D42" s="45"/>
      <c r="E42" s="45" t="s">
        <v>252</v>
      </c>
      <c r="F42" s="44">
        <v>20</v>
      </c>
      <c r="G42" s="186">
        <v>400</v>
      </c>
      <c r="H42" s="182">
        <f t="shared" si="0"/>
        <v>8000</v>
      </c>
      <c r="I42" s="55"/>
    </row>
    <row r="43" spans="2:9" x14ac:dyDescent="0.25">
      <c r="B43" s="44">
        <v>38</v>
      </c>
      <c r="C43" s="28"/>
      <c r="D43" s="28"/>
      <c r="E43" s="50" t="s">
        <v>247</v>
      </c>
      <c r="F43" s="44">
        <v>20</v>
      </c>
      <c r="G43" s="186">
        <v>350</v>
      </c>
      <c r="H43" s="182">
        <f t="shared" si="0"/>
        <v>7000</v>
      </c>
      <c r="I43" s="55"/>
    </row>
    <row r="44" spans="2:9" x14ac:dyDescent="0.25">
      <c r="B44" s="44">
        <v>39</v>
      </c>
      <c r="C44" s="28"/>
      <c r="D44" s="28"/>
      <c r="E44" s="50" t="s">
        <v>248</v>
      </c>
      <c r="F44" s="44">
        <v>20</v>
      </c>
      <c r="G44" s="186">
        <v>1500</v>
      </c>
      <c r="H44" s="182">
        <f t="shared" si="0"/>
        <v>30000</v>
      </c>
      <c r="I44" s="55"/>
    </row>
    <row r="45" spans="2:9" ht="26.25" x14ac:dyDescent="0.25">
      <c r="B45" s="44">
        <v>40</v>
      </c>
      <c r="C45" s="28"/>
      <c r="D45" s="28"/>
      <c r="E45" s="95" t="s">
        <v>249</v>
      </c>
      <c r="F45" s="44">
        <v>20</v>
      </c>
      <c r="G45" s="186">
        <v>150</v>
      </c>
      <c r="H45" s="182">
        <f t="shared" si="0"/>
        <v>3000</v>
      </c>
      <c r="I45" s="55"/>
    </row>
    <row r="46" spans="2:9" x14ac:dyDescent="0.25">
      <c r="B46" s="44">
        <v>41</v>
      </c>
      <c r="C46" s="28"/>
      <c r="D46" s="28"/>
      <c r="E46" s="50" t="s">
        <v>250</v>
      </c>
      <c r="F46" s="44">
        <v>20</v>
      </c>
      <c r="G46" s="186">
        <v>1500</v>
      </c>
      <c r="H46" s="182">
        <f t="shared" si="0"/>
        <v>30000</v>
      </c>
      <c r="I46" s="55"/>
    </row>
    <row r="47" spans="2:9" ht="26.25" x14ac:dyDescent="0.25">
      <c r="B47" s="44">
        <v>42</v>
      </c>
      <c r="C47" s="45"/>
      <c r="D47" s="45"/>
      <c r="E47" s="52" t="s">
        <v>322</v>
      </c>
      <c r="F47" s="44">
        <v>50</v>
      </c>
      <c r="G47" s="186">
        <v>90</v>
      </c>
      <c r="H47" s="182">
        <f t="shared" si="0"/>
        <v>4500</v>
      </c>
      <c r="I47" s="41" t="s">
        <v>251</v>
      </c>
    </row>
    <row r="48" spans="2:9" x14ac:dyDescent="0.25">
      <c r="B48" s="44">
        <v>43</v>
      </c>
      <c r="C48" s="45"/>
      <c r="D48" s="45"/>
      <c r="E48" s="45" t="s">
        <v>74</v>
      </c>
      <c r="F48" s="44">
        <v>500</v>
      </c>
      <c r="G48" s="186">
        <v>7</v>
      </c>
      <c r="H48" s="182">
        <f t="shared" si="0"/>
        <v>3500</v>
      </c>
      <c r="I48" s="55"/>
    </row>
    <row r="49" spans="2:9" x14ac:dyDescent="0.25">
      <c r="B49" s="44">
        <v>44</v>
      </c>
      <c r="C49" s="45"/>
      <c r="D49" s="45"/>
      <c r="E49" s="45" t="s">
        <v>76</v>
      </c>
      <c r="F49" s="44">
        <v>200</v>
      </c>
      <c r="G49" s="186">
        <v>30</v>
      </c>
      <c r="H49" s="182">
        <f t="shared" si="0"/>
        <v>6000</v>
      </c>
      <c r="I49" s="55"/>
    </row>
    <row r="50" spans="2:9" x14ac:dyDescent="0.25">
      <c r="B50" s="44">
        <v>45</v>
      </c>
      <c r="C50" s="45"/>
      <c r="D50" s="45"/>
      <c r="E50" s="45" t="s">
        <v>79</v>
      </c>
      <c r="F50" s="44">
        <v>100</v>
      </c>
      <c r="G50" s="186">
        <v>100</v>
      </c>
      <c r="H50" s="182">
        <f t="shared" si="0"/>
        <v>10000</v>
      </c>
      <c r="I50" s="55"/>
    </row>
    <row r="51" spans="2:9" x14ac:dyDescent="0.25">
      <c r="B51" s="44">
        <v>46</v>
      </c>
      <c r="C51" s="45"/>
      <c r="D51" s="45"/>
      <c r="E51" s="45" t="s">
        <v>81</v>
      </c>
      <c r="F51" s="44">
        <v>5</v>
      </c>
      <c r="G51" s="186">
        <v>150</v>
      </c>
      <c r="H51" s="182">
        <f t="shared" si="0"/>
        <v>750</v>
      </c>
      <c r="I51" s="55"/>
    </row>
    <row r="52" spans="2:9" x14ac:dyDescent="0.25">
      <c r="B52" s="44">
        <v>47</v>
      </c>
      <c r="C52" s="45"/>
      <c r="D52" s="45"/>
      <c r="E52" s="45" t="s">
        <v>89</v>
      </c>
      <c r="F52" s="44">
        <v>15</v>
      </c>
      <c r="G52" s="186">
        <v>20</v>
      </c>
      <c r="H52" s="182">
        <f t="shared" si="0"/>
        <v>300</v>
      </c>
      <c r="I52" s="55"/>
    </row>
    <row r="53" spans="2:9" ht="26.25" x14ac:dyDescent="0.25">
      <c r="B53" s="44">
        <v>48</v>
      </c>
      <c r="C53" s="45"/>
      <c r="D53" s="45"/>
      <c r="E53" s="52" t="s">
        <v>96</v>
      </c>
      <c r="F53" s="44">
        <v>5</v>
      </c>
      <c r="G53" s="186">
        <v>350</v>
      </c>
      <c r="H53" s="182">
        <f t="shared" si="0"/>
        <v>1750</v>
      </c>
      <c r="I53" s="55"/>
    </row>
    <row r="54" spans="2:9" x14ac:dyDescent="0.25">
      <c r="B54" s="44">
        <v>49</v>
      </c>
      <c r="C54" s="45"/>
      <c r="D54" s="45"/>
      <c r="E54" s="45" t="s">
        <v>83</v>
      </c>
      <c r="F54" s="44">
        <v>10</v>
      </c>
      <c r="G54" s="186">
        <v>20</v>
      </c>
      <c r="H54" s="182">
        <f t="shared" si="0"/>
        <v>200</v>
      </c>
      <c r="I54" s="55"/>
    </row>
    <row r="55" spans="2:9" x14ac:dyDescent="0.25">
      <c r="B55" s="44">
        <v>50</v>
      </c>
      <c r="C55" s="45"/>
      <c r="D55" s="45"/>
      <c r="E55" s="45" t="s">
        <v>84</v>
      </c>
      <c r="F55" s="44">
        <v>4</v>
      </c>
      <c r="G55" s="186">
        <v>70</v>
      </c>
      <c r="H55" s="182">
        <f t="shared" si="0"/>
        <v>280</v>
      </c>
      <c r="I55" s="55"/>
    </row>
    <row r="56" spans="2:9" x14ac:dyDescent="0.25">
      <c r="B56" s="44">
        <v>51</v>
      </c>
      <c r="C56" s="45"/>
      <c r="D56" s="45"/>
      <c r="E56" s="45" t="s">
        <v>85</v>
      </c>
      <c r="F56" s="44">
        <v>10</v>
      </c>
      <c r="G56" s="186">
        <v>100</v>
      </c>
      <c r="H56" s="182">
        <f t="shared" si="0"/>
        <v>1000</v>
      </c>
      <c r="I56" s="55"/>
    </row>
    <row r="57" spans="2:9" ht="26.25" x14ac:dyDescent="0.25">
      <c r="B57" s="44">
        <v>52</v>
      </c>
      <c r="C57" s="45"/>
      <c r="D57" s="45"/>
      <c r="E57" s="52" t="s">
        <v>244</v>
      </c>
      <c r="F57" s="44">
        <v>10</v>
      </c>
      <c r="G57" s="186">
        <v>500</v>
      </c>
      <c r="H57" s="182">
        <f t="shared" si="0"/>
        <v>5000</v>
      </c>
      <c r="I57" s="55"/>
    </row>
    <row r="58" spans="2:9" x14ac:dyDescent="0.25">
      <c r="B58" s="44">
        <v>53</v>
      </c>
      <c r="C58" s="45"/>
      <c r="D58" s="45"/>
      <c r="E58" s="45" t="s">
        <v>160</v>
      </c>
      <c r="F58" s="44">
        <v>100</v>
      </c>
      <c r="G58" s="186">
        <v>7</v>
      </c>
      <c r="H58" s="182">
        <f t="shared" si="0"/>
        <v>700</v>
      </c>
      <c r="I58" s="55"/>
    </row>
    <row r="59" spans="2:9" x14ac:dyDescent="0.25">
      <c r="B59" s="44">
        <v>54</v>
      </c>
      <c r="C59" s="45"/>
      <c r="D59" s="45"/>
      <c r="E59" s="45" t="s">
        <v>88</v>
      </c>
      <c r="F59" s="44">
        <v>20</v>
      </c>
      <c r="G59" s="186">
        <v>250</v>
      </c>
      <c r="H59" s="182">
        <f t="shared" si="0"/>
        <v>5000</v>
      </c>
      <c r="I59" s="55"/>
    </row>
    <row r="60" spans="2:9" x14ac:dyDescent="0.25">
      <c r="B60" s="44">
        <v>55</v>
      </c>
      <c r="C60" s="45"/>
      <c r="D60" s="45"/>
      <c r="E60" s="45" t="s">
        <v>264</v>
      </c>
      <c r="F60" s="44">
        <v>15</v>
      </c>
      <c r="G60" s="186">
        <v>50</v>
      </c>
      <c r="H60" s="182">
        <f t="shared" si="0"/>
        <v>750</v>
      </c>
      <c r="I60" s="55"/>
    </row>
    <row r="61" spans="2:9" x14ac:dyDescent="0.25">
      <c r="B61" s="44">
        <v>56</v>
      </c>
      <c r="C61" s="45"/>
      <c r="D61" s="45"/>
      <c r="E61" s="45" t="s">
        <v>258</v>
      </c>
      <c r="F61" s="44">
        <v>15</v>
      </c>
      <c r="G61" s="186">
        <v>20</v>
      </c>
      <c r="H61" s="182">
        <f t="shared" si="0"/>
        <v>300</v>
      </c>
      <c r="I61" s="55"/>
    </row>
    <row r="62" spans="2:9" x14ac:dyDescent="0.25">
      <c r="B62" s="44">
        <v>57</v>
      </c>
      <c r="C62" s="45"/>
      <c r="D62" s="45"/>
      <c r="E62" s="45" t="s">
        <v>259</v>
      </c>
      <c r="F62" s="44">
        <v>50</v>
      </c>
      <c r="G62" s="186">
        <v>20</v>
      </c>
      <c r="H62" s="182">
        <f t="shared" si="0"/>
        <v>1000</v>
      </c>
      <c r="I62" s="55"/>
    </row>
    <row r="63" spans="2:9" x14ac:dyDescent="0.25">
      <c r="B63" s="44">
        <v>58</v>
      </c>
      <c r="C63" s="45"/>
      <c r="D63" s="45"/>
      <c r="E63" s="45" t="s">
        <v>260</v>
      </c>
      <c r="F63" s="44">
        <v>100</v>
      </c>
      <c r="G63" s="186">
        <v>15</v>
      </c>
      <c r="H63" s="182">
        <f t="shared" si="0"/>
        <v>1500</v>
      </c>
      <c r="I63" s="55"/>
    </row>
    <row r="64" spans="2:9" x14ac:dyDescent="0.25">
      <c r="B64" s="44">
        <v>59</v>
      </c>
      <c r="C64" s="45"/>
      <c r="D64" s="45"/>
      <c r="E64" s="45" t="s">
        <v>261</v>
      </c>
      <c r="F64" s="44">
        <v>50</v>
      </c>
      <c r="G64" s="186">
        <v>20</v>
      </c>
      <c r="H64" s="182">
        <f t="shared" si="0"/>
        <v>1000</v>
      </c>
      <c r="I64" s="55"/>
    </row>
    <row r="65" spans="2:9" x14ac:dyDescent="0.25">
      <c r="B65" s="44">
        <v>60</v>
      </c>
      <c r="C65" s="45"/>
      <c r="D65" s="45"/>
      <c r="E65" s="45" t="s">
        <v>262</v>
      </c>
      <c r="F65" s="44">
        <v>10</v>
      </c>
      <c r="G65" s="186">
        <v>70</v>
      </c>
      <c r="H65" s="182">
        <f t="shared" si="0"/>
        <v>700</v>
      </c>
      <c r="I65" s="55"/>
    </row>
    <row r="66" spans="2:9" x14ac:dyDescent="0.25">
      <c r="B66" s="44">
        <v>61</v>
      </c>
      <c r="C66" s="45"/>
      <c r="D66" s="45"/>
      <c r="E66" s="45" t="s">
        <v>315</v>
      </c>
      <c r="F66" s="44">
        <v>5</v>
      </c>
      <c r="G66" s="186">
        <v>30</v>
      </c>
      <c r="H66" s="182">
        <f t="shared" si="0"/>
        <v>150</v>
      </c>
      <c r="I66" s="55"/>
    </row>
    <row r="67" spans="2:9" x14ac:dyDescent="0.25">
      <c r="B67" s="44">
        <v>62</v>
      </c>
      <c r="C67" s="45"/>
      <c r="D67" s="45"/>
      <c r="E67" s="45" t="s">
        <v>316</v>
      </c>
      <c r="F67" s="44">
        <v>10</v>
      </c>
      <c r="G67" s="186">
        <v>60</v>
      </c>
      <c r="H67" s="182">
        <f t="shared" si="0"/>
        <v>600</v>
      </c>
      <c r="I67" s="55"/>
    </row>
    <row r="68" spans="2:9" x14ac:dyDescent="0.25">
      <c r="B68" s="44">
        <v>63</v>
      </c>
      <c r="C68" s="45"/>
      <c r="D68" s="45"/>
      <c r="E68" s="45" t="s">
        <v>263</v>
      </c>
      <c r="F68" s="44">
        <v>10</v>
      </c>
      <c r="G68" s="186">
        <v>70</v>
      </c>
      <c r="H68" s="182">
        <f t="shared" si="0"/>
        <v>700</v>
      </c>
      <c r="I68" s="55"/>
    </row>
    <row r="69" spans="2:9" x14ac:dyDescent="0.25">
      <c r="B69" s="44">
        <v>64</v>
      </c>
      <c r="C69" s="45"/>
      <c r="D69" s="92"/>
      <c r="E69" s="45" t="s">
        <v>347</v>
      </c>
      <c r="F69" s="44">
        <v>3</v>
      </c>
      <c r="G69" s="186">
        <v>70</v>
      </c>
      <c r="H69" s="182">
        <f t="shared" si="0"/>
        <v>210</v>
      </c>
      <c r="I69" s="55"/>
    </row>
    <row r="70" spans="2:9" x14ac:dyDescent="0.25">
      <c r="B70" s="44">
        <v>65</v>
      </c>
      <c r="C70" s="45"/>
      <c r="D70" s="92"/>
      <c r="E70" s="45" t="s">
        <v>348</v>
      </c>
      <c r="F70" s="44">
        <v>2</v>
      </c>
      <c r="G70" s="186">
        <v>350</v>
      </c>
      <c r="H70" s="182">
        <f t="shared" si="0"/>
        <v>700</v>
      </c>
      <c r="I70" s="55"/>
    </row>
    <row r="71" spans="2:9" x14ac:dyDescent="0.25">
      <c r="B71" s="44">
        <v>66</v>
      </c>
      <c r="C71" s="45"/>
      <c r="D71" s="92"/>
      <c r="E71" s="45" t="s">
        <v>428</v>
      </c>
      <c r="F71" s="44">
        <v>2</v>
      </c>
      <c r="G71" s="186">
        <v>350</v>
      </c>
      <c r="H71" s="182">
        <f t="shared" si="0"/>
        <v>700</v>
      </c>
      <c r="I71" s="55"/>
    </row>
    <row r="72" spans="2:9" x14ac:dyDescent="0.25">
      <c r="B72" s="44">
        <v>67</v>
      </c>
      <c r="C72" s="45"/>
      <c r="D72" s="92"/>
      <c r="E72" s="45" t="s">
        <v>429</v>
      </c>
      <c r="F72" s="44">
        <v>20</v>
      </c>
      <c r="G72" s="186">
        <v>350</v>
      </c>
      <c r="H72" s="182">
        <f t="shared" si="0"/>
        <v>7000</v>
      </c>
      <c r="I72" s="55"/>
    </row>
    <row r="73" spans="2:9" x14ac:dyDescent="0.25">
      <c r="B73" s="45"/>
      <c r="C73" s="218" t="s">
        <v>466</v>
      </c>
      <c r="D73" s="219"/>
      <c r="E73" s="43"/>
      <c r="F73" s="44"/>
      <c r="G73" s="187">
        <f>SUM(G7:G72)</f>
        <v>23399</v>
      </c>
      <c r="H73" s="187"/>
      <c r="I73" s="55"/>
    </row>
    <row r="74" spans="2:9" ht="15.75" x14ac:dyDescent="0.25">
      <c r="B74" s="28"/>
      <c r="C74" s="227" t="s">
        <v>317</v>
      </c>
      <c r="D74" s="228"/>
      <c r="E74" s="28"/>
      <c r="F74" s="27"/>
      <c r="G74" s="161"/>
      <c r="H74" s="188">
        <f>SUM(H7:H73)</f>
        <v>456630</v>
      </c>
      <c r="I74" s="55"/>
    </row>
  </sheetData>
  <mergeCells count="3">
    <mergeCell ref="B2:G2"/>
    <mergeCell ref="C73:D73"/>
    <mergeCell ref="C74:D74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workbookViewId="0">
      <selection activeCell="F11" sqref="F11"/>
    </sheetView>
  </sheetViews>
  <sheetFormatPr defaultRowHeight="15" x14ac:dyDescent="0.25"/>
  <cols>
    <col min="2" max="2" width="4.42578125" bestFit="1" customWidth="1"/>
    <col min="3" max="3" width="12.28515625" bestFit="1" customWidth="1"/>
    <col min="4" max="4" width="12.42578125" bestFit="1" customWidth="1"/>
    <col min="5" max="5" width="37" customWidth="1"/>
    <col min="6" max="6" width="10.42578125" customWidth="1"/>
    <col min="7" max="7" width="17.140625" customWidth="1"/>
    <col min="8" max="8" width="17.5703125" bestFit="1" customWidth="1"/>
    <col min="9" max="9" width="32.42578125" customWidth="1"/>
  </cols>
  <sheetData>
    <row r="2" spans="2:9" x14ac:dyDescent="0.25">
      <c r="B2" s="220" t="s">
        <v>582</v>
      </c>
      <c r="C2" s="220"/>
      <c r="D2" s="220"/>
      <c r="E2" s="220"/>
      <c r="F2" s="220"/>
      <c r="G2" s="220"/>
      <c r="H2" s="157"/>
      <c r="I2" s="154"/>
    </row>
    <row r="3" spans="2:9" x14ac:dyDescent="0.25">
      <c r="B3" s="36"/>
      <c r="C3" s="38"/>
      <c r="D3" s="38"/>
      <c r="E3" s="38"/>
      <c r="F3" s="36"/>
      <c r="G3" s="158"/>
      <c r="H3" s="158"/>
      <c r="I3" s="154"/>
    </row>
    <row r="4" spans="2:9" ht="35.25" x14ac:dyDescent="0.25">
      <c r="B4" s="78" t="s">
        <v>153</v>
      </c>
      <c r="C4" s="79" t="s">
        <v>1</v>
      </c>
      <c r="D4" s="173" t="s">
        <v>2</v>
      </c>
      <c r="E4" s="47" t="s">
        <v>103</v>
      </c>
      <c r="F4" s="173" t="s">
        <v>4</v>
      </c>
      <c r="G4" s="72" t="s">
        <v>540</v>
      </c>
      <c r="H4" s="63" t="s">
        <v>542</v>
      </c>
      <c r="I4" s="58" t="s">
        <v>541</v>
      </c>
    </row>
    <row r="5" spans="2:9" x14ac:dyDescent="0.25">
      <c r="B5" s="173" t="s">
        <v>8</v>
      </c>
      <c r="C5" s="173" t="s">
        <v>10</v>
      </c>
      <c r="D5" s="173" t="s">
        <v>11</v>
      </c>
      <c r="E5" s="173" t="s">
        <v>12</v>
      </c>
      <c r="F5" s="173" t="s">
        <v>14</v>
      </c>
      <c r="G5" s="159" t="s">
        <v>15</v>
      </c>
      <c r="H5" s="159" t="s">
        <v>16</v>
      </c>
      <c r="I5" s="55"/>
    </row>
    <row r="6" spans="2:9" x14ac:dyDescent="0.25">
      <c r="B6" s="173"/>
      <c r="C6" s="173" t="s">
        <v>543</v>
      </c>
      <c r="D6" s="43">
        <v>2202000002</v>
      </c>
      <c r="E6" s="80" t="s">
        <v>343</v>
      </c>
      <c r="F6" s="44"/>
      <c r="G6" s="160"/>
      <c r="H6" s="160"/>
      <c r="I6" s="55"/>
    </row>
    <row r="7" spans="2:9" x14ac:dyDescent="0.25">
      <c r="B7" s="44">
        <v>1</v>
      </c>
      <c r="C7" s="173"/>
      <c r="D7" s="43"/>
      <c r="E7" s="81" t="s">
        <v>254</v>
      </c>
      <c r="F7" s="44">
        <v>70</v>
      </c>
      <c r="G7" s="186">
        <v>3500</v>
      </c>
      <c r="H7" s="186">
        <f>F7*G7</f>
        <v>245000</v>
      </c>
      <c r="I7" s="81" t="s">
        <v>253</v>
      </c>
    </row>
    <row r="8" spans="2:9" x14ac:dyDescent="0.25">
      <c r="B8" s="44">
        <v>2</v>
      </c>
      <c r="C8" s="173"/>
      <c r="D8" s="43"/>
      <c r="E8" s="81" t="s">
        <v>255</v>
      </c>
      <c r="F8" s="44">
        <v>15</v>
      </c>
      <c r="G8" s="186">
        <v>2500</v>
      </c>
      <c r="H8" s="186">
        <f t="shared" ref="H8:H10" si="0">F8*G8</f>
        <v>37500</v>
      </c>
      <c r="I8" s="81" t="s">
        <v>253</v>
      </c>
    </row>
    <row r="9" spans="2:9" x14ac:dyDescent="0.25">
      <c r="B9" s="44">
        <v>3</v>
      </c>
      <c r="C9" s="45"/>
      <c r="D9" s="45"/>
      <c r="E9" s="45" t="s">
        <v>214</v>
      </c>
      <c r="F9" s="44">
        <v>4</v>
      </c>
      <c r="G9" s="186">
        <v>2200</v>
      </c>
      <c r="H9" s="186">
        <f t="shared" si="0"/>
        <v>8800</v>
      </c>
      <c r="I9" s="45" t="s">
        <v>256</v>
      </c>
    </row>
    <row r="10" spans="2:9" x14ac:dyDescent="0.25">
      <c r="B10" s="44">
        <v>4</v>
      </c>
      <c r="C10" s="45"/>
      <c r="D10" s="45"/>
      <c r="E10" s="52" t="s">
        <v>424</v>
      </c>
      <c r="F10" s="44">
        <v>10</v>
      </c>
      <c r="G10" s="186">
        <v>3500</v>
      </c>
      <c r="H10" s="186">
        <f t="shared" si="0"/>
        <v>35000</v>
      </c>
      <c r="I10" s="45" t="s">
        <v>283</v>
      </c>
    </row>
    <row r="11" spans="2:9" x14ac:dyDescent="0.25">
      <c r="B11" s="44">
        <v>5</v>
      </c>
      <c r="C11" s="45"/>
      <c r="D11" s="45"/>
      <c r="E11" s="45" t="s">
        <v>456</v>
      </c>
      <c r="F11" s="44">
        <v>2</v>
      </c>
      <c r="G11" s="186">
        <v>3500</v>
      </c>
      <c r="H11" s="186">
        <f>F11*G11</f>
        <v>7000</v>
      </c>
      <c r="I11" s="52" t="s">
        <v>319</v>
      </c>
    </row>
    <row r="12" spans="2:9" x14ac:dyDescent="0.25">
      <c r="B12" s="44">
        <v>6</v>
      </c>
      <c r="C12" s="45"/>
      <c r="D12" s="45"/>
      <c r="E12" s="52" t="s">
        <v>285</v>
      </c>
      <c r="F12" s="44">
        <v>2</v>
      </c>
      <c r="G12" s="186">
        <v>17000</v>
      </c>
      <c r="H12" s="186">
        <f t="shared" ref="H12:H16" si="1">F12*G12</f>
        <v>34000</v>
      </c>
      <c r="I12" s="45" t="s">
        <v>284</v>
      </c>
    </row>
    <row r="13" spans="2:9" x14ac:dyDescent="0.25">
      <c r="B13" s="44">
        <v>7</v>
      </c>
      <c r="C13" s="74"/>
      <c r="D13" s="92"/>
      <c r="E13" s="52" t="s">
        <v>54</v>
      </c>
      <c r="F13" s="44">
        <v>100</v>
      </c>
      <c r="G13" s="186">
        <v>800</v>
      </c>
      <c r="H13" s="186">
        <f t="shared" si="1"/>
        <v>80000</v>
      </c>
      <c r="I13" s="45" t="s">
        <v>457</v>
      </c>
    </row>
    <row r="14" spans="2:9" x14ac:dyDescent="0.25">
      <c r="B14" s="44">
        <v>8</v>
      </c>
      <c r="C14" s="74"/>
      <c r="D14" s="92"/>
      <c r="E14" s="52" t="s">
        <v>58</v>
      </c>
      <c r="F14" s="44">
        <v>70</v>
      </c>
      <c r="G14" s="186">
        <v>500</v>
      </c>
      <c r="H14" s="186">
        <f t="shared" si="1"/>
        <v>35000</v>
      </c>
      <c r="I14" s="45" t="s">
        <v>457</v>
      </c>
    </row>
    <row r="15" spans="2:9" x14ac:dyDescent="0.25">
      <c r="B15" s="44">
        <v>9</v>
      </c>
      <c r="C15" s="74"/>
      <c r="D15" s="92"/>
      <c r="E15" s="52" t="s">
        <v>422</v>
      </c>
      <c r="F15" s="44">
        <v>1</v>
      </c>
      <c r="G15" s="186">
        <v>4200</v>
      </c>
      <c r="H15" s="186">
        <f t="shared" si="1"/>
        <v>4200</v>
      </c>
      <c r="I15" s="45" t="s">
        <v>283</v>
      </c>
    </row>
    <row r="16" spans="2:9" x14ac:dyDescent="0.25">
      <c r="B16" s="44">
        <v>10</v>
      </c>
      <c r="C16" s="74"/>
      <c r="D16" s="92"/>
      <c r="E16" s="52" t="s">
        <v>423</v>
      </c>
      <c r="F16" s="44">
        <v>10</v>
      </c>
      <c r="G16" s="186">
        <v>150</v>
      </c>
      <c r="H16" s="186">
        <f t="shared" si="1"/>
        <v>1500</v>
      </c>
      <c r="I16" s="45" t="s">
        <v>457</v>
      </c>
    </row>
    <row r="17" spans="2:9" x14ac:dyDescent="0.25">
      <c r="B17" s="44"/>
      <c r="C17" s="218" t="s">
        <v>546</v>
      </c>
      <c r="D17" s="219"/>
      <c r="E17" s="43"/>
      <c r="F17" s="44"/>
      <c r="G17" s="187">
        <f>SUM(G7:G16)</f>
        <v>37850</v>
      </c>
      <c r="H17" s="190"/>
      <c r="I17" s="55"/>
    </row>
    <row r="18" spans="2:9" ht="15.75" x14ac:dyDescent="0.25">
      <c r="B18" s="77"/>
      <c r="C18" s="218" t="s">
        <v>282</v>
      </c>
      <c r="D18" s="219"/>
      <c r="E18" s="77"/>
      <c r="F18" s="77"/>
      <c r="G18" s="162"/>
      <c r="H18" s="191">
        <f>SUM(H7:H17)</f>
        <v>488000</v>
      </c>
      <c r="I18" s="55"/>
    </row>
    <row r="19" spans="2:9" x14ac:dyDescent="0.25">
      <c r="B19" s="6"/>
      <c r="F19" s="6"/>
      <c r="G19" s="157"/>
      <c r="H19" s="157"/>
      <c r="I19" s="154"/>
    </row>
  </sheetData>
  <mergeCells count="3">
    <mergeCell ref="B2:G2"/>
    <mergeCell ref="C17:D17"/>
    <mergeCell ref="C18:D18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8"/>
  <sheetViews>
    <sheetView workbookViewId="0">
      <selection activeCell="K46" sqref="K46"/>
    </sheetView>
  </sheetViews>
  <sheetFormatPr defaultRowHeight="15" x14ac:dyDescent="0.25"/>
  <cols>
    <col min="1" max="1" width="4.42578125" bestFit="1" customWidth="1"/>
    <col min="2" max="2" width="10.85546875" customWidth="1"/>
    <col min="3" max="3" width="11" bestFit="1" customWidth="1"/>
    <col min="4" max="4" width="28.85546875" customWidth="1"/>
    <col min="5" max="5" width="4.5703125" bestFit="1" customWidth="1"/>
    <col min="6" max="6" width="12.7109375" bestFit="1" customWidth="1"/>
    <col min="7" max="7" width="16" bestFit="1" customWidth="1"/>
    <col min="8" max="8" width="27.7109375" customWidth="1"/>
  </cols>
  <sheetData>
    <row r="2" spans="1:8" x14ac:dyDescent="0.25">
      <c r="E2" s="6"/>
      <c r="F2" s="157"/>
      <c r="G2" s="157"/>
      <c r="H2" s="154"/>
    </row>
    <row r="3" spans="1:8" x14ac:dyDescent="0.25">
      <c r="A3" s="220" t="s">
        <v>583</v>
      </c>
      <c r="B3" s="220"/>
      <c r="C3" s="220"/>
      <c r="D3" s="220"/>
      <c r="E3" s="220"/>
      <c r="F3" s="220"/>
      <c r="G3" s="220"/>
      <c r="H3" s="154"/>
    </row>
    <row r="4" spans="1:8" x14ac:dyDescent="0.25">
      <c r="A4" s="174"/>
      <c r="B4" s="174"/>
      <c r="C4" s="174"/>
      <c r="D4" s="174"/>
      <c r="E4" s="174"/>
      <c r="F4" s="163"/>
      <c r="G4" s="163"/>
      <c r="H4" s="154"/>
    </row>
    <row r="5" spans="1:8" ht="24" x14ac:dyDescent="0.25">
      <c r="A5" s="173" t="s">
        <v>0</v>
      </c>
      <c r="B5" s="84" t="s">
        <v>1</v>
      </c>
      <c r="C5" s="173" t="s">
        <v>2</v>
      </c>
      <c r="D5" s="77" t="s">
        <v>3</v>
      </c>
      <c r="E5" s="173" t="s">
        <v>4</v>
      </c>
      <c r="F5" s="72" t="s">
        <v>540</v>
      </c>
      <c r="G5" s="63" t="s">
        <v>542</v>
      </c>
      <c r="H5" s="58" t="s">
        <v>541</v>
      </c>
    </row>
    <row r="6" spans="1:8" x14ac:dyDescent="0.25">
      <c r="A6" s="173" t="s">
        <v>8</v>
      </c>
      <c r="B6" s="173" t="s">
        <v>171</v>
      </c>
      <c r="C6" s="173" t="s">
        <v>11</v>
      </c>
      <c r="D6" s="173" t="s">
        <v>172</v>
      </c>
      <c r="E6" s="173" t="s">
        <v>13</v>
      </c>
      <c r="F6" s="159" t="s">
        <v>13</v>
      </c>
      <c r="G6" s="159" t="s">
        <v>14</v>
      </c>
      <c r="H6" s="55"/>
    </row>
    <row r="7" spans="1:8" ht="26.25" x14ac:dyDescent="0.25">
      <c r="A7" s="173"/>
      <c r="B7" s="84" t="s">
        <v>543</v>
      </c>
      <c r="C7" s="84">
        <v>2200600003</v>
      </c>
      <c r="D7" s="83" t="s">
        <v>174</v>
      </c>
      <c r="E7" s="54"/>
      <c r="F7" s="164"/>
      <c r="G7" s="164"/>
      <c r="H7" s="55"/>
    </row>
    <row r="8" spans="1:8" ht="46.5" x14ac:dyDescent="0.25">
      <c r="A8" s="44">
        <v>1</v>
      </c>
      <c r="B8" s="44"/>
      <c r="D8" s="91" t="s">
        <v>568</v>
      </c>
      <c r="E8" s="44">
        <v>15</v>
      </c>
      <c r="F8" s="186">
        <v>4000</v>
      </c>
      <c r="G8" s="186">
        <f>E8*F8</f>
        <v>60000</v>
      </c>
      <c r="H8" s="209" t="s">
        <v>566</v>
      </c>
    </row>
    <row r="9" spans="1:8" x14ac:dyDescent="0.25">
      <c r="A9" s="44">
        <v>2</v>
      </c>
      <c r="B9" s="44"/>
      <c r="C9" s="44"/>
      <c r="D9" s="60" t="s">
        <v>574</v>
      </c>
      <c r="E9" s="44">
        <v>900</v>
      </c>
      <c r="F9" s="186">
        <v>150</v>
      </c>
      <c r="G9" s="186">
        <f t="shared" ref="G9:G45" si="0">E9*F9</f>
        <v>135000</v>
      </c>
      <c r="H9" s="207" t="s">
        <v>573</v>
      </c>
    </row>
    <row r="10" spans="1:8" ht="24" x14ac:dyDescent="0.25">
      <c r="A10" s="44">
        <v>3</v>
      </c>
      <c r="B10" s="44"/>
      <c r="C10" s="44"/>
      <c r="D10" s="91" t="s">
        <v>578</v>
      </c>
      <c r="E10" s="44">
        <v>15</v>
      </c>
      <c r="F10" s="186">
        <v>200</v>
      </c>
      <c r="G10" s="186">
        <f t="shared" si="0"/>
        <v>3000</v>
      </c>
      <c r="H10" s="207" t="s">
        <v>573</v>
      </c>
    </row>
    <row r="11" spans="1:8" ht="24" x14ac:dyDescent="0.25">
      <c r="A11" s="44">
        <v>4</v>
      </c>
      <c r="B11" s="44"/>
      <c r="C11" s="44"/>
      <c r="D11" s="91" t="s">
        <v>404</v>
      </c>
      <c r="E11" s="44">
        <v>800</v>
      </c>
      <c r="F11" s="186">
        <v>200</v>
      </c>
      <c r="G11" s="186">
        <f t="shared" si="0"/>
        <v>160000</v>
      </c>
      <c r="H11" s="55"/>
    </row>
    <row r="12" spans="1:8" ht="24" x14ac:dyDescent="0.25">
      <c r="A12" s="44">
        <v>5</v>
      </c>
      <c r="B12" s="44"/>
      <c r="C12" s="44"/>
      <c r="D12" s="91" t="s">
        <v>405</v>
      </c>
      <c r="E12" s="44">
        <v>800</v>
      </c>
      <c r="F12" s="186">
        <v>200</v>
      </c>
      <c r="G12" s="186">
        <f t="shared" si="0"/>
        <v>160000</v>
      </c>
      <c r="H12" s="55"/>
    </row>
    <row r="13" spans="1:8" x14ac:dyDescent="0.25">
      <c r="A13" s="44">
        <v>6</v>
      </c>
      <c r="B13" s="44"/>
      <c r="C13" s="44"/>
      <c r="D13" s="60" t="s">
        <v>286</v>
      </c>
      <c r="E13" s="44">
        <v>15</v>
      </c>
      <c r="F13" s="186">
        <v>220</v>
      </c>
      <c r="G13" s="186">
        <f t="shared" si="0"/>
        <v>3300</v>
      </c>
      <c r="H13" s="55"/>
    </row>
    <row r="14" spans="1:8" x14ac:dyDescent="0.25">
      <c r="A14" s="44">
        <v>7</v>
      </c>
      <c r="B14" s="44"/>
      <c r="C14" s="44"/>
      <c r="D14" s="91" t="s">
        <v>420</v>
      </c>
      <c r="E14" s="44">
        <v>30</v>
      </c>
      <c r="F14" s="186">
        <v>350</v>
      </c>
      <c r="G14" s="186">
        <f t="shared" si="0"/>
        <v>10500</v>
      </c>
      <c r="H14" s="207" t="s">
        <v>577</v>
      </c>
    </row>
    <row r="15" spans="1:8" x14ac:dyDescent="0.25">
      <c r="A15" s="44">
        <v>8</v>
      </c>
      <c r="B15" s="44"/>
      <c r="C15" s="44"/>
      <c r="D15" s="60" t="s">
        <v>313</v>
      </c>
      <c r="E15" s="44">
        <v>10</v>
      </c>
      <c r="F15" s="186">
        <v>45</v>
      </c>
      <c r="G15" s="186">
        <f t="shared" si="0"/>
        <v>450</v>
      </c>
      <c r="H15" s="55"/>
    </row>
    <row r="16" spans="1:8" x14ac:dyDescent="0.25">
      <c r="A16" s="44">
        <v>9</v>
      </c>
      <c r="B16" s="44"/>
      <c r="C16" s="44"/>
      <c r="D16" s="91" t="s">
        <v>314</v>
      </c>
      <c r="E16" s="44">
        <v>10</v>
      </c>
      <c r="F16" s="186">
        <v>110</v>
      </c>
      <c r="G16" s="186">
        <f t="shared" si="0"/>
        <v>1100</v>
      </c>
      <c r="H16" s="55"/>
    </row>
    <row r="17" spans="1:8" ht="24" x14ac:dyDescent="0.25">
      <c r="A17" s="44">
        <v>10</v>
      </c>
      <c r="B17" s="44"/>
      <c r="C17" s="44"/>
      <c r="D17" s="91" t="s">
        <v>421</v>
      </c>
      <c r="E17" s="44">
        <v>15</v>
      </c>
      <c r="F17" s="186">
        <v>2000</v>
      </c>
      <c r="G17" s="186">
        <f t="shared" si="0"/>
        <v>30000</v>
      </c>
      <c r="H17" s="55"/>
    </row>
    <row r="18" spans="1:8" x14ac:dyDescent="0.25">
      <c r="A18" s="44">
        <v>11</v>
      </c>
      <c r="B18" s="44"/>
      <c r="C18" s="44"/>
      <c r="D18" s="91" t="s">
        <v>199</v>
      </c>
      <c r="E18" s="44">
        <v>15</v>
      </c>
      <c r="F18" s="186">
        <v>2000</v>
      </c>
      <c r="G18" s="186">
        <f t="shared" si="0"/>
        <v>30000</v>
      </c>
      <c r="H18" s="55"/>
    </row>
    <row r="19" spans="1:8" x14ac:dyDescent="0.25">
      <c r="A19" s="44">
        <v>12</v>
      </c>
      <c r="B19" s="44"/>
      <c r="C19" s="44"/>
      <c r="D19" s="60" t="s">
        <v>406</v>
      </c>
      <c r="E19" s="44">
        <v>10</v>
      </c>
      <c r="F19" s="186">
        <v>3000</v>
      </c>
      <c r="G19" s="186">
        <f t="shared" si="0"/>
        <v>30000</v>
      </c>
      <c r="H19" s="55"/>
    </row>
    <row r="20" spans="1:8" x14ac:dyDescent="0.25">
      <c r="A20" s="44">
        <v>13</v>
      </c>
      <c r="B20" s="44"/>
      <c r="C20" s="44"/>
      <c r="D20" s="60" t="s">
        <v>407</v>
      </c>
      <c r="E20" s="44">
        <v>2</v>
      </c>
      <c r="F20" s="186">
        <v>10000</v>
      </c>
      <c r="G20" s="186">
        <f t="shared" si="0"/>
        <v>20000</v>
      </c>
      <c r="H20" s="55"/>
    </row>
    <row r="21" spans="1:8" x14ac:dyDescent="0.25">
      <c r="A21" s="44">
        <v>14</v>
      </c>
      <c r="B21" s="44"/>
      <c r="C21" s="44"/>
      <c r="D21" s="60" t="s">
        <v>408</v>
      </c>
      <c r="E21" s="44">
        <v>5</v>
      </c>
      <c r="F21" s="186">
        <v>50</v>
      </c>
      <c r="G21" s="186">
        <f t="shared" si="0"/>
        <v>250</v>
      </c>
      <c r="H21" s="55"/>
    </row>
    <row r="22" spans="1:8" x14ac:dyDescent="0.25">
      <c r="A22" s="44">
        <v>15</v>
      </c>
      <c r="B22" s="44"/>
      <c r="C22" s="44"/>
      <c r="D22" s="60" t="s">
        <v>94</v>
      </c>
      <c r="E22" s="44">
        <v>1</v>
      </c>
      <c r="F22" s="186">
        <v>1200</v>
      </c>
      <c r="G22" s="186">
        <f t="shared" si="0"/>
        <v>1200</v>
      </c>
      <c r="H22" s="55"/>
    </row>
    <row r="23" spans="1:8" x14ac:dyDescent="0.25">
      <c r="A23" s="44">
        <v>16</v>
      </c>
      <c r="B23" s="44"/>
      <c r="C23" s="44"/>
      <c r="D23" s="60" t="s">
        <v>198</v>
      </c>
      <c r="E23" s="44">
        <v>5</v>
      </c>
      <c r="F23" s="186">
        <v>2000</v>
      </c>
      <c r="G23" s="186">
        <f t="shared" si="0"/>
        <v>10000</v>
      </c>
      <c r="H23" s="55"/>
    </row>
    <row r="24" spans="1:8" x14ac:dyDescent="0.25">
      <c r="A24" s="44">
        <v>17</v>
      </c>
      <c r="B24" s="51"/>
      <c r="C24" s="51"/>
      <c r="D24" s="60" t="s">
        <v>409</v>
      </c>
      <c r="E24" s="44">
        <v>15</v>
      </c>
      <c r="F24" s="186">
        <v>200</v>
      </c>
      <c r="G24" s="186">
        <f t="shared" si="0"/>
        <v>3000</v>
      </c>
      <c r="H24" s="55"/>
    </row>
    <row r="25" spans="1:8" ht="24" x14ac:dyDescent="0.25">
      <c r="A25" s="44">
        <v>18</v>
      </c>
      <c r="B25" s="44"/>
      <c r="C25" s="44"/>
      <c r="D25" s="91" t="s">
        <v>567</v>
      </c>
      <c r="E25" s="51">
        <v>6</v>
      </c>
      <c r="F25" s="192">
        <v>36000</v>
      </c>
      <c r="G25" s="186">
        <f t="shared" si="0"/>
        <v>216000</v>
      </c>
      <c r="H25" s="207" t="s">
        <v>569</v>
      </c>
    </row>
    <row r="26" spans="1:8" x14ac:dyDescent="0.25">
      <c r="A26" s="44">
        <v>19</v>
      </c>
      <c r="B26" s="44"/>
      <c r="C26" s="44"/>
      <c r="D26" s="91" t="s">
        <v>572</v>
      </c>
      <c r="E26" s="51">
        <v>1</v>
      </c>
      <c r="F26" s="192">
        <v>700</v>
      </c>
      <c r="G26" s="186">
        <f t="shared" si="0"/>
        <v>700</v>
      </c>
      <c r="H26" s="207" t="s">
        <v>569</v>
      </c>
    </row>
    <row r="27" spans="1:8" x14ac:dyDescent="0.25">
      <c r="A27" s="44">
        <v>20</v>
      </c>
      <c r="B27" s="44"/>
      <c r="C27" s="44"/>
      <c r="D27" s="91" t="s">
        <v>571</v>
      </c>
      <c r="E27" s="51">
        <v>1</v>
      </c>
      <c r="F27" s="192">
        <v>2300</v>
      </c>
      <c r="G27" s="186">
        <f t="shared" si="0"/>
        <v>2300</v>
      </c>
      <c r="H27" s="207" t="s">
        <v>569</v>
      </c>
    </row>
    <row r="28" spans="1:8" x14ac:dyDescent="0.25">
      <c r="A28" s="44">
        <v>21</v>
      </c>
      <c r="B28" s="44"/>
      <c r="C28" s="44"/>
      <c r="D28" s="60" t="s">
        <v>410</v>
      </c>
      <c r="E28" s="44">
        <v>50</v>
      </c>
      <c r="F28" s="186">
        <v>700</v>
      </c>
      <c r="G28" s="186">
        <f t="shared" si="0"/>
        <v>35000</v>
      </c>
      <c r="H28" s="207"/>
    </row>
    <row r="29" spans="1:8" x14ac:dyDescent="0.25">
      <c r="A29" s="44">
        <v>22</v>
      </c>
      <c r="B29" s="44"/>
      <c r="C29" s="44"/>
      <c r="D29" s="60" t="s">
        <v>183</v>
      </c>
      <c r="E29" s="44">
        <v>3</v>
      </c>
      <c r="F29" s="186">
        <v>500</v>
      </c>
      <c r="G29" s="186">
        <f t="shared" si="0"/>
        <v>1500</v>
      </c>
      <c r="H29" s="207"/>
    </row>
    <row r="30" spans="1:8" x14ac:dyDescent="0.25">
      <c r="A30" s="44">
        <v>23</v>
      </c>
      <c r="B30" s="44"/>
      <c r="C30" s="44"/>
      <c r="D30" s="60" t="s">
        <v>184</v>
      </c>
      <c r="E30" s="44">
        <v>3</v>
      </c>
      <c r="F30" s="186">
        <v>300</v>
      </c>
      <c r="G30" s="186">
        <f t="shared" si="0"/>
        <v>900</v>
      </c>
      <c r="H30" s="207"/>
    </row>
    <row r="31" spans="1:8" x14ac:dyDescent="0.25">
      <c r="A31" s="44">
        <v>24</v>
      </c>
      <c r="B31" s="44"/>
      <c r="C31" s="44"/>
      <c r="D31" s="60" t="s">
        <v>411</v>
      </c>
      <c r="E31" s="44">
        <v>3</v>
      </c>
      <c r="F31" s="186">
        <v>300</v>
      </c>
      <c r="G31" s="186">
        <f t="shared" si="0"/>
        <v>900</v>
      </c>
      <c r="H31" s="207"/>
    </row>
    <row r="32" spans="1:8" x14ac:dyDescent="0.25">
      <c r="A32" s="44">
        <v>25</v>
      </c>
      <c r="B32" s="44"/>
      <c r="C32" s="44"/>
      <c r="D32" s="91" t="s">
        <v>185</v>
      </c>
      <c r="E32" s="44">
        <v>3</v>
      </c>
      <c r="F32" s="186">
        <v>570</v>
      </c>
      <c r="G32" s="186">
        <f t="shared" si="0"/>
        <v>1710</v>
      </c>
      <c r="H32" s="207"/>
    </row>
    <row r="33" spans="1:8" x14ac:dyDescent="0.25">
      <c r="A33" s="44">
        <v>26</v>
      </c>
      <c r="B33" s="44"/>
      <c r="C33" s="44"/>
      <c r="D33" s="60" t="s">
        <v>186</v>
      </c>
      <c r="E33" s="44">
        <v>3</v>
      </c>
      <c r="F33" s="186">
        <v>450</v>
      </c>
      <c r="G33" s="186">
        <f t="shared" si="0"/>
        <v>1350</v>
      </c>
      <c r="H33" s="207"/>
    </row>
    <row r="34" spans="1:8" x14ac:dyDescent="0.25">
      <c r="A34" s="44">
        <v>27</v>
      </c>
      <c r="B34" s="44"/>
      <c r="C34" s="44"/>
      <c r="D34" s="60" t="s">
        <v>415</v>
      </c>
      <c r="E34" s="44">
        <v>800</v>
      </c>
      <c r="F34" s="186">
        <v>2000</v>
      </c>
      <c r="G34" s="186">
        <f t="shared" si="0"/>
        <v>1600000</v>
      </c>
      <c r="H34" s="207" t="s">
        <v>570</v>
      </c>
    </row>
    <row r="35" spans="1:8" x14ac:dyDescent="0.25">
      <c r="A35" s="44">
        <v>28</v>
      </c>
      <c r="B35" s="44"/>
      <c r="C35" s="44"/>
      <c r="D35" s="60" t="s">
        <v>412</v>
      </c>
      <c r="E35" s="44">
        <v>3</v>
      </c>
      <c r="F35" s="186">
        <v>430</v>
      </c>
      <c r="G35" s="186">
        <f t="shared" si="0"/>
        <v>1290</v>
      </c>
      <c r="H35" s="55"/>
    </row>
    <row r="36" spans="1:8" x14ac:dyDescent="0.25">
      <c r="A36" s="44">
        <v>29</v>
      </c>
      <c r="B36" s="44"/>
      <c r="C36" s="44"/>
      <c r="D36" s="60" t="s">
        <v>200</v>
      </c>
      <c r="E36" s="44">
        <v>1</v>
      </c>
      <c r="F36" s="186">
        <v>1400</v>
      </c>
      <c r="G36" s="186">
        <f t="shared" si="0"/>
        <v>1400</v>
      </c>
      <c r="H36" s="55"/>
    </row>
    <row r="37" spans="1:8" x14ac:dyDescent="0.25">
      <c r="A37" s="44">
        <v>30</v>
      </c>
      <c r="B37" s="44"/>
      <c r="C37" s="44"/>
      <c r="D37" s="60" t="s">
        <v>414</v>
      </c>
      <c r="E37" s="44">
        <v>1</v>
      </c>
      <c r="F37" s="186">
        <v>1400</v>
      </c>
      <c r="G37" s="186">
        <f t="shared" si="0"/>
        <v>1400</v>
      </c>
      <c r="H37" s="55"/>
    </row>
    <row r="38" spans="1:8" x14ac:dyDescent="0.25">
      <c r="A38" s="44">
        <v>31</v>
      </c>
      <c r="B38" s="44"/>
      <c r="C38" s="44"/>
      <c r="D38" s="60" t="s">
        <v>201</v>
      </c>
      <c r="E38" s="44">
        <v>1</v>
      </c>
      <c r="F38" s="186">
        <v>1000</v>
      </c>
      <c r="G38" s="186">
        <f t="shared" si="0"/>
        <v>1000</v>
      </c>
      <c r="H38" s="55"/>
    </row>
    <row r="39" spans="1:8" x14ac:dyDescent="0.25">
      <c r="A39" s="44">
        <v>32</v>
      </c>
      <c r="B39" s="44"/>
      <c r="C39" s="44"/>
      <c r="D39" s="60" t="s">
        <v>413</v>
      </c>
      <c r="E39" s="44">
        <v>1</v>
      </c>
      <c r="F39" s="186">
        <v>1400</v>
      </c>
      <c r="G39" s="186">
        <f t="shared" si="0"/>
        <v>1400</v>
      </c>
      <c r="H39" s="55"/>
    </row>
    <row r="40" spans="1:8" ht="30" x14ac:dyDescent="0.25">
      <c r="A40" s="44">
        <v>33</v>
      </c>
      <c r="B40" s="44"/>
      <c r="C40" s="44"/>
      <c r="D40" s="91" t="s">
        <v>575</v>
      </c>
      <c r="E40" s="44">
        <v>2</v>
      </c>
      <c r="F40" s="186">
        <v>5500</v>
      </c>
      <c r="G40" s="186">
        <f t="shared" si="0"/>
        <v>11000</v>
      </c>
      <c r="H40" s="208" t="s">
        <v>576</v>
      </c>
    </row>
    <row r="41" spans="1:8" x14ac:dyDescent="0.25">
      <c r="A41" s="44">
        <v>34</v>
      </c>
      <c r="B41" s="44"/>
      <c r="C41" s="44"/>
      <c r="D41" s="60" t="s">
        <v>318</v>
      </c>
      <c r="E41" s="44">
        <v>10</v>
      </c>
      <c r="F41" s="186">
        <v>1000</v>
      </c>
      <c r="G41" s="186">
        <f t="shared" si="0"/>
        <v>10000</v>
      </c>
      <c r="H41" s="55"/>
    </row>
    <row r="42" spans="1:8" x14ac:dyDescent="0.25">
      <c r="A42" s="44">
        <v>35</v>
      </c>
      <c r="B42" s="44"/>
      <c r="C42" s="44"/>
      <c r="D42" s="60" t="s">
        <v>416</v>
      </c>
      <c r="E42" s="44">
        <v>1</v>
      </c>
      <c r="F42" s="186">
        <v>2000</v>
      </c>
      <c r="G42" s="186">
        <f t="shared" si="0"/>
        <v>2000</v>
      </c>
      <c r="H42" s="55"/>
    </row>
    <row r="43" spans="1:8" ht="24" x14ac:dyDescent="0.25">
      <c r="A43" s="44">
        <v>36</v>
      </c>
      <c r="B43" s="100"/>
      <c r="C43" s="44"/>
      <c r="D43" s="91" t="s">
        <v>417</v>
      </c>
      <c r="E43" s="44">
        <v>2</v>
      </c>
      <c r="F43" s="186">
        <v>700</v>
      </c>
      <c r="G43" s="186">
        <f t="shared" si="0"/>
        <v>1400</v>
      </c>
      <c r="H43" s="55"/>
    </row>
    <row r="44" spans="1:8" ht="24" x14ac:dyDescent="0.25">
      <c r="A44" s="44">
        <v>37</v>
      </c>
      <c r="B44" s="100"/>
      <c r="C44" s="44"/>
      <c r="D44" s="91" t="s">
        <v>418</v>
      </c>
      <c r="E44" s="44">
        <v>2</v>
      </c>
      <c r="F44" s="186">
        <v>600</v>
      </c>
      <c r="G44" s="186">
        <f t="shared" si="0"/>
        <v>1200</v>
      </c>
      <c r="H44" s="55"/>
    </row>
    <row r="45" spans="1:8" x14ac:dyDescent="0.25">
      <c r="A45" s="44">
        <v>38</v>
      </c>
      <c r="B45" s="100"/>
      <c r="C45" s="44"/>
      <c r="D45" s="60" t="s">
        <v>419</v>
      </c>
      <c r="E45" s="44">
        <v>2</v>
      </c>
      <c r="F45" s="186">
        <v>2000</v>
      </c>
      <c r="G45" s="186">
        <f t="shared" si="0"/>
        <v>4000</v>
      </c>
      <c r="H45" s="55"/>
    </row>
    <row r="46" spans="1:8" x14ac:dyDescent="0.25">
      <c r="A46" s="44"/>
      <c r="B46" s="218" t="s">
        <v>546</v>
      </c>
      <c r="C46" s="219"/>
      <c r="D46" s="60"/>
      <c r="E46" s="44"/>
      <c r="F46" s="187">
        <f>SUM(F8:F45)</f>
        <v>87175</v>
      </c>
      <c r="G46" s="193"/>
      <c r="H46" s="55"/>
    </row>
    <row r="47" spans="1:8" x14ac:dyDescent="0.25">
      <c r="A47" s="44"/>
      <c r="B47" s="218" t="s">
        <v>282</v>
      </c>
      <c r="C47" s="219"/>
      <c r="D47" s="45"/>
      <c r="E47" s="44"/>
      <c r="F47" s="160"/>
      <c r="G47" s="187">
        <f>SUM(G8:G46)</f>
        <v>2554250</v>
      </c>
      <c r="H47" s="55"/>
    </row>
    <row r="48" spans="1:8" x14ac:dyDescent="0.25">
      <c r="A48" s="56"/>
      <c r="B48" s="167"/>
      <c r="C48" s="56"/>
      <c r="D48" s="57"/>
      <c r="E48" s="56"/>
      <c r="F48" s="165"/>
      <c r="G48" s="166"/>
      <c r="H48" s="154"/>
    </row>
  </sheetData>
  <mergeCells count="3">
    <mergeCell ref="B46:C46"/>
    <mergeCell ref="B47:C47"/>
    <mergeCell ref="A3:G3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D17" sqref="D17"/>
    </sheetView>
  </sheetViews>
  <sheetFormatPr defaultRowHeight="15" x14ac:dyDescent="0.25"/>
  <cols>
    <col min="1" max="1" width="4.42578125" bestFit="1" customWidth="1"/>
    <col min="2" max="2" width="12" customWidth="1"/>
    <col min="3" max="3" width="12.42578125" bestFit="1" customWidth="1"/>
    <col min="4" max="4" width="36.7109375" customWidth="1"/>
    <col min="5" max="5" width="4.5703125" bestFit="1" customWidth="1"/>
    <col min="6" max="6" width="12.7109375" bestFit="1" customWidth="1"/>
    <col min="7" max="7" width="16" bestFit="1" customWidth="1"/>
    <col min="8" max="8" width="22" customWidth="1"/>
  </cols>
  <sheetData>
    <row r="2" spans="1:8" x14ac:dyDescent="0.25">
      <c r="A2" s="56"/>
      <c r="B2" s="76"/>
      <c r="C2" s="56"/>
      <c r="D2" s="57"/>
      <c r="E2" s="56"/>
      <c r="F2" s="165"/>
      <c r="G2" s="166"/>
      <c r="H2" s="154"/>
    </row>
    <row r="3" spans="1:8" x14ac:dyDescent="0.25">
      <c r="A3" s="220" t="s">
        <v>584</v>
      </c>
      <c r="B3" s="220"/>
      <c r="C3" s="220"/>
      <c r="D3" s="220"/>
      <c r="E3" s="220"/>
      <c r="F3" s="220"/>
      <c r="G3" s="220"/>
      <c r="H3" s="154"/>
    </row>
    <row r="4" spans="1:8" x14ac:dyDescent="0.25">
      <c r="A4" s="36"/>
      <c r="B4" s="38"/>
      <c r="C4" s="38"/>
      <c r="D4" s="38"/>
      <c r="E4" s="36"/>
      <c r="F4" s="158"/>
      <c r="G4" s="158"/>
      <c r="H4" s="154"/>
    </row>
    <row r="5" spans="1:8" ht="26.25" x14ac:dyDescent="0.25">
      <c r="A5" s="78" t="s">
        <v>153</v>
      </c>
      <c r="B5" s="79" t="s">
        <v>1</v>
      </c>
      <c r="C5" s="173" t="s">
        <v>2</v>
      </c>
      <c r="D5" s="47" t="s">
        <v>103</v>
      </c>
      <c r="E5" s="173" t="s">
        <v>4</v>
      </c>
      <c r="F5" s="72" t="s">
        <v>540</v>
      </c>
      <c r="G5" s="63" t="s">
        <v>542</v>
      </c>
      <c r="H5" s="58" t="s">
        <v>541</v>
      </c>
    </row>
    <row r="6" spans="1:8" x14ac:dyDescent="0.25">
      <c r="A6" s="173" t="s">
        <v>8</v>
      </c>
      <c r="B6" s="173" t="s">
        <v>10</v>
      </c>
      <c r="C6" s="173" t="s">
        <v>11</v>
      </c>
      <c r="D6" s="173" t="s">
        <v>12</v>
      </c>
      <c r="E6" s="173" t="s">
        <v>14</v>
      </c>
      <c r="F6" s="159" t="s">
        <v>15</v>
      </c>
      <c r="G6" s="159" t="s">
        <v>16</v>
      </c>
      <c r="H6" s="55"/>
    </row>
    <row r="7" spans="1:8" ht="25.5" x14ac:dyDescent="0.25">
      <c r="A7" s="173"/>
      <c r="B7" s="173" t="s">
        <v>543</v>
      </c>
      <c r="C7" s="43">
        <v>2202000004</v>
      </c>
      <c r="D7" s="80" t="s">
        <v>345</v>
      </c>
      <c r="E7" s="44"/>
      <c r="F7" s="160"/>
      <c r="G7" s="160"/>
      <c r="H7" s="55"/>
    </row>
    <row r="8" spans="1:8" x14ac:dyDescent="0.25">
      <c r="A8" s="44">
        <v>1</v>
      </c>
      <c r="B8" s="173"/>
      <c r="C8" s="43"/>
      <c r="D8" s="81" t="s">
        <v>344</v>
      </c>
      <c r="E8" s="44">
        <v>1</v>
      </c>
      <c r="F8" s="186">
        <v>10000</v>
      </c>
      <c r="G8" s="186">
        <f>E8*F8</f>
        <v>10000</v>
      </c>
      <c r="H8" s="55"/>
    </row>
    <row r="9" spans="1:8" x14ac:dyDescent="0.25">
      <c r="A9" s="44">
        <v>2</v>
      </c>
      <c r="B9" s="48"/>
      <c r="C9" s="103"/>
      <c r="D9" s="81" t="s">
        <v>455</v>
      </c>
      <c r="E9" s="44">
        <v>1</v>
      </c>
      <c r="F9" s="186">
        <v>5000</v>
      </c>
      <c r="G9" s="186">
        <f>E9*F9</f>
        <v>5000</v>
      </c>
      <c r="H9" s="55"/>
    </row>
    <row r="10" spans="1:8" x14ac:dyDescent="0.25">
      <c r="A10" s="44"/>
      <c r="B10" s="218" t="s">
        <v>546</v>
      </c>
      <c r="C10" s="219"/>
      <c r="D10" s="43"/>
      <c r="E10" s="44"/>
      <c r="F10" s="187">
        <f>SUM(F8:F9)</f>
        <v>15000</v>
      </c>
      <c r="G10" s="190"/>
      <c r="H10" s="55"/>
    </row>
    <row r="11" spans="1:8" ht="15.75" x14ac:dyDescent="0.25">
      <c r="A11" s="77"/>
      <c r="B11" s="218" t="s">
        <v>282</v>
      </c>
      <c r="C11" s="219"/>
      <c r="D11" s="77"/>
      <c r="E11" s="77"/>
      <c r="F11" s="77"/>
      <c r="G11" s="191">
        <f>SUM(G8:G10)</f>
        <v>15000</v>
      </c>
      <c r="H11" s="55"/>
    </row>
    <row r="12" spans="1:8" x14ac:dyDescent="0.25">
      <c r="A12" s="97"/>
      <c r="B12" s="55"/>
      <c r="C12" s="55"/>
      <c r="D12" s="55"/>
      <c r="E12" s="97"/>
      <c r="F12" s="55"/>
      <c r="G12" s="55"/>
      <c r="H12" s="55"/>
    </row>
  </sheetData>
  <mergeCells count="3">
    <mergeCell ref="A3:G3"/>
    <mergeCell ref="B10:C10"/>
    <mergeCell ref="B11:C11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6"/>
  <sheetViews>
    <sheetView topLeftCell="A105" workbookViewId="0">
      <selection activeCell="A2" sqref="A2:F2"/>
    </sheetView>
  </sheetViews>
  <sheetFormatPr defaultRowHeight="15" x14ac:dyDescent="0.25"/>
  <cols>
    <col min="1" max="1" width="4" bestFit="1" customWidth="1"/>
    <col min="2" max="2" width="11" bestFit="1" customWidth="1"/>
    <col min="3" max="3" width="12.28515625" customWidth="1"/>
    <col min="4" max="4" width="34.85546875" bestFit="1" customWidth="1"/>
    <col min="5" max="5" width="5.28515625" bestFit="1" customWidth="1"/>
    <col min="6" max="6" width="13.85546875" bestFit="1" customWidth="1"/>
    <col min="7" max="7" width="19.7109375" bestFit="1" customWidth="1"/>
    <col min="8" max="8" width="26.140625" customWidth="1"/>
  </cols>
  <sheetData>
    <row r="2" spans="1:8" x14ac:dyDescent="0.25">
      <c r="A2" s="229" t="s">
        <v>586</v>
      </c>
      <c r="B2" s="229"/>
      <c r="C2" s="229"/>
      <c r="D2" s="229"/>
      <c r="E2" s="229"/>
      <c r="F2" s="229"/>
      <c r="G2" s="157"/>
      <c r="H2" s="154"/>
    </row>
    <row r="3" spans="1:8" x14ac:dyDescent="0.25">
      <c r="A3" s="147"/>
      <c r="B3" s="147"/>
      <c r="E3" s="6"/>
      <c r="F3" s="157"/>
      <c r="G3" s="157"/>
      <c r="H3" s="154"/>
    </row>
    <row r="4" spans="1:8" ht="24" x14ac:dyDescent="0.25">
      <c r="A4" s="149" t="s">
        <v>0</v>
      </c>
      <c r="B4" s="149" t="s">
        <v>1</v>
      </c>
      <c r="C4" s="150" t="s">
        <v>2</v>
      </c>
      <c r="D4" s="150" t="s">
        <v>100</v>
      </c>
      <c r="E4" s="150" t="s">
        <v>4</v>
      </c>
      <c r="F4" s="72" t="s">
        <v>540</v>
      </c>
      <c r="G4" s="63" t="s">
        <v>542</v>
      </c>
      <c r="H4" s="58" t="s">
        <v>541</v>
      </c>
    </row>
    <row r="5" spans="1:8" x14ac:dyDescent="0.25">
      <c r="A5" s="151" t="s">
        <v>8</v>
      </c>
      <c r="B5" s="151" t="s">
        <v>106</v>
      </c>
      <c r="C5" s="152" t="s">
        <v>11</v>
      </c>
      <c r="D5" s="153" t="s">
        <v>196</v>
      </c>
      <c r="E5" s="152" t="s">
        <v>14</v>
      </c>
      <c r="F5" s="168" t="s">
        <v>15</v>
      </c>
      <c r="G5" s="168" t="s">
        <v>16</v>
      </c>
      <c r="H5" s="55"/>
    </row>
    <row r="6" spans="1:8" ht="21" x14ac:dyDescent="0.25">
      <c r="A6" s="150"/>
      <c r="B6" s="150" t="s">
        <v>543</v>
      </c>
      <c r="C6" s="177">
        <v>3112210001</v>
      </c>
      <c r="D6" s="149" t="s">
        <v>238</v>
      </c>
      <c r="E6" s="148"/>
      <c r="F6" s="169"/>
      <c r="G6" s="169"/>
      <c r="H6" s="55"/>
    </row>
    <row r="7" spans="1:8" x14ac:dyDescent="0.25">
      <c r="A7" s="84"/>
      <c r="B7" s="84"/>
      <c r="C7" s="178"/>
      <c r="D7" s="179" t="s">
        <v>239</v>
      </c>
      <c r="E7" s="86"/>
      <c r="F7" s="170"/>
      <c r="G7" s="170"/>
      <c r="H7" s="55"/>
    </row>
    <row r="8" spans="1:8" ht="22.5" x14ac:dyDescent="0.25">
      <c r="A8" s="86">
        <v>1</v>
      </c>
      <c r="B8" s="41"/>
      <c r="C8" s="41"/>
      <c r="D8" s="85" t="s">
        <v>352</v>
      </c>
      <c r="E8" s="86">
        <v>500</v>
      </c>
      <c r="F8" s="194">
        <v>2000</v>
      </c>
      <c r="G8" s="194">
        <f>E8*F8</f>
        <v>1000000</v>
      </c>
      <c r="H8" s="82" t="s">
        <v>240</v>
      </c>
    </row>
    <row r="9" spans="1:8" x14ac:dyDescent="0.25">
      <c r="A9" s="86">
        <v>2</v>
      </c>
      <c r="B9" s="41"/>
      <c r="C9" s="41"/>
      <c r="D9" s="85" t="s">
        <v>354</v>
      </c>
      <c r="E9" s="86">
        <v>300</v>
      </c>
      <c r="F9" s="194">
        <v>2500</v>
      </c>
      <c r="G9" s="194">
        <f t="shared" ref="G9:G78" si="0">E9*F9</f>
        <v>750000</v>
      </c>
      <c r="H9" s="55"/>
    </row>
    <row r="10" spans="1:8" x14ac:dyDescent="0.25">
      <c r="A10" s="86">
        <v>3</v>
      </c>
      <c r="B10" s="41"/>
      <c r="C10" s="41"/>
      <c r="D10" s="85" t="s">
        <v>353</v>
      </c>
      <c r="E10" s="86">
        <v>250</v>
      </c>
      <c r="F10" s="194">
        <v>1600</v>
      </c>
      <c r="G10" s="194">
        <f t="shared" si="0"/>
        <v>400000</v>
      </c>
      <c r="H10" s="55"/>
    </row>
    <row r="11" spans="1:8" x14ac:dyDescent="0.25">
      <c r="A11" s="86">
        <v>4</v>
      </c>
      <c r="B11" s="41"/>
      <c r="C11" s="41"/>
      <c r="D11" s="87" t="s">
        <v>357</v>
      </c>
      <c r="E11" s="86">
        <v>5</v>
      </c>
      <c r="F11" s="194">
        <v>5300</v>
      </c>
      <c r="G11" s="194">
        <f t="shared" si="0"/>
        <v>26500</v>
      </c>
      <c r="H11" s="55"/>
    </row>
    <row r="12" spans="1:8" x14ac:dyDescent="0.25">
      <c r="A12" s="86">
        <v>5</v>
      </c>
      <c r="B12" s="41"/>
      <c r="C12" s="41"/>
      <c r="D12" s="87" t="s">
        <v>355</v>
      </c>
      <c r="E12" s="86">
        <v>100</v>
      </c>
      <c r="F12" s="194">
        <v>2500</v>
      </c>
      <c r="G12" s="194">
        <f t="shared" si="0"/>
        <v>250000</v>
      </c>
      <c r="H12" s="55"/>
    </row>
    <row r="13" spans="1:8" x14ac:dyDescent="0.25">
      <c r="A13" s="86">
        <v>6</v>
      </c>
      <c r="B13" s="41"/>
      <c r="C13" s="41"/>
      <c r="D13" s="88" t="s">
        <v>287</v>
      </c>
      <c r="E13" s="86">
        <v>5</v>
      </c>
      <c r="F13" s="194">
        <v>1000</v>
      </c>
      <c r="G13" s="194">
        <f t="shared" si="0"/>
        <v>5000</v>
      </c>
      <c r="H13" s="55"/>
    </row>
    <row r="14" spans="1:8" x14ac:dyDescent="0.25">
      <c r="A14" s="86">
        <v>7</v>
      </c>
      <c r="B14" s="41"/>
      <c r="C14" s="41"/>
      <c r="D14" s="87" t="s">
        <v>288</v>
      </c>
      <c r="E14" s="86">
        <v>10</v>
      </c>
      <c r="F14" s="194">
        <v>700</v>
      </c>
      <c r="G14" s="194">
        <f t="shared" si="0"/>
        <v>7000</v>
      </c>
      <c r="H14" s="55"/>
    </row>
    <row r="15" spans="1:8" x14ac:dyDescent="0.25">
      <c r="A15" s="86">
        <v>8</v>
      </c>
      <c r="B15" s="41"/>
      <c r="C15" s="41"/>
      <c r="D15" s="87" t="s">
        <v>289</v>
      </c>
      <c r="E15" s="86">
        <v>5</v>
      </c>
      <c r="F15" s="194">
        <v>1000</v>
      </c>
      <c r="G15" s="194">
        <f t="shared" si="0"/>
        <v>5000</v>
      </c>
      <c r="H15" s="55"/>
    </row>
    <row r="16" spans="1:8" x14ac:dyDescent="0.25">
      <c r="A16" s="86">
        <v>9</v>
      </c>
      <c r="B16" s="41"/>
      <c r="C16" s="41"/>
      <c r="D16" s="88" t="s">
        <v>290</v>
      </c>
      <c r="E16" s="86">
        <v>2</v>
      </c>
      <c r="F16" s="194">
        <v>3500</v>
      </c>
      <c r="G16" s="194">
        <f t="shared" si="0"/>
        <v>7000</v>
      </c>
      <c r="H16" s="55"/>
    </row>
    <row r="17" spans="1:8" x14ac:dyDescent="0.25">
      <c r="A17" s="86">
        <v>10</v>
      </c>
      <c r="B17" s="41"/>
      <c r="C17" s="41"/>
      <c r="D17" s="88" t="s">
        <v>291</v>
      </c>
      <c r="E17" s="86">
        <v>5</v>
      </c>
      <c r="F17" s="194">
        <v>1500</v>
      </c>
      <c r="G17" s="194">
        <f t="shared" si="0"/>
        <v>7500</v>
      </c>
      <c r="H17" s="55"/>
    </row>
    <row r="18" spans="1:8" x14ac:dyDescent="0.25">
      <c r="A18" s="86">
        <v>11</v>
      </c>
      <c r="B18" s="85"/>
      <c r="C18" s="85"/>
      <c r="D18" s="85" t="s">
        <v>359</v>
      </c>
      <c r="E18" s="86">
        <v>50</v>
      </c>
      <c r="F18" s="194">
        <v>800</v>
      </c>
      <c r="G18" s="194">
        <f t="shared" si="0"/>
        <v>40000</v>
      </c>
      <c r="H18" s="55"/>
    </row>
    <row r="19" spans="1:8" x14ac:dyDescent="0.25">
      <c r="A19" s="86">
        <v>12</v>
      </c>
      <c r="B19" s="85"/>
      <c r="C19" s="85"/>
      <c r="D19" s="85" t="s">
        <v>358</v>
      </c>
      <c r="E19" s="86">
        <v>30</v>
      </c>
      <c r="F19" s="194">
        <v>2500</v>
      </c>
      <c r="G19" s="194">
        <f t="shared" si="0"/>
        <v>75000</v>
      </c>
      <c r="H19" s="55"/>
    </row>
    <row r="20" spans="1:8" x14ac:dyDescent="0.25">
      <c r="A20" s="86">
        <v>13</v>
      </c>
      <c r="B20" s="85"/>
      <c r="C20" s="85"/>
      <c r="D20" s="85" t="s">
        <v>187</v>
      </c>
      <c r="E20" s="86">
        <v>13</v>
      </c>
      <c r="F20" s="194">
        <v>80</v>
      </c>
      <c r="G20" s="194">
        <f t="shared" si="0"/>
        <v>1040</v>
      </c>
      <c r="H20" s="55"/>
    </row>
    <row r="21" spans="1:8" x14ac:dyDescent="0.25">
      <c r="A21" s="86">
        <v>14</v>
      </c>
      <c r="B21" s="85"/>
      <c r="C21" s="85"/>
      <c r="D21" s="85" t="s">
        <v>52</v>
      </c>
      <c r="E21" s="86">
        <v>30</v>
      </c>
      <c r="F21" s="194">
        <v>800</v>
      </c>
      <c r="G21" s="194">
        <f t="shared" si="0"/>
        <v>24000</v>
      </c>
      <c r="H21" s="55"/>
    </row>
    <row r="22" spans="1:8" x14ac:dyDescent="0.25">
      <c r="A22" s="86">
        <v>15</v>
      </c>
      <c r="B22" s="85"/>
      <c r="C22" s="85"/>
      <c r="D22" s="85" t="s">
        <v>366</v>
      </c>
      <c r="E22" s="86">
        <v>400</v>
      </c>
      <c r="F22" s="194">
        <v>150</v>
      </c>
      <c r="G22" s="194">
        <f t="shared" si="0"/>
        <v>60000</v>
      </c>
      <c r="H22" s="55"/>
    </row>
    <row r="23" spans="1:8" x14ac:dyDescent="0.25">
      <c r="A23" s="86">
        <v>16</v>
      </c>
      <c r="B23" s="85"/>
      <c r="C23" s="85"/>
      <c r="D23" s="85" t="s">
        <v>53</v>
      </c>
      <c r="E23" s="86">
        <v>50</v>
      </c>
      <c r="F23" s="194">
        <v>500</v>
      </c>
      <c r="G23" s="194">
        <f t="shared" si="0"/>
        <v>25000</v>
      </c>
      <c r="H23" s="55"/>
    </row>
    <row r="24" spans="1:8" x14ac:dyDescent="0.25">
      <c r="A24" s="86">
        <v>17</v>
      </c>
      <c r="B24" s="85"/>
      <c r="C24" s="85"/>
      <c r="D24" s="85" t="s">
        <v>362</v>
      </c>
      <c r="E24" s="86">
        <v>5</v>
      </c>
      <c r="F24" s="194">
        <v>2500</v>
      </c>
      <c r="G24" s="194">
        <f t="shared" si="0"/>
        <v>12500</v>
      </c>
      <c r="H24" s="55"/>
    </row>
    <row r="25" spans="1:8" x14ac:dyDescent="0.25">
      <c r="A25" s="86">
        <v>18</v>
      </c>
      <c r="B25" s="85"/>
      <c r="C25" s="85"/>
      <c r="D25" s="85" t="s">
        <v>356</v>
      </c>
      <c r="E25" s="86">
        <v>50</v>
      </c>
      <c r="F25" s="194">
        <v>4000</v>
      </c>
      <c r="G25" s="194">
        <f t="shared" si="0"/>
        <v>200000</v>
      </c>
      <c r="H25" s="55"/>
    </row>
    <row r="26" spans="1:8" x14ac:dyDescent="0.25">
      <c r="A26" s="86">
        <v>19</v>
      </c>
      <c r="B26" s="85"/>
      <c r="C26" s="85"/>
      <c r="D26" s="85" t="s">
        <v>188</v>
      </c>
      <c r="E26" s="86">
        <v>5</v>
      </c>
      <c r="F26" s="194">
        <v>6500</v>
      </c>
      <c r="G26" s="194">
        <f t="shared" si="0"/>
        <v>32500</v>
      </c>
      <c r="H26" s="55"/>
    </row>
    <row r="27" spans="1:8" x14ac:dyDescent="0.25">
      <c r="A27" s="86">
        <v>20</v>
      </c>
      <c r="B27" s="85"/>
      <c r="C27" s="85"/>
      <c r="D27" s="85" t="s">
        <v>554</v>
      </c>
      <c r="E27" s="86">
        <v>2</v>
      </c>
      <c r="F27" s="194">
        <v>15000</v>
      </c>
      <c r="G27" s="194">
        <f t="shared" si="0"/>
        <v>30000</v>
      </c>
      <c r="H27" s="207" t="s">
        <v>555</v>
      </c>
    </row>
    <row r="28" spans="1:8" x14ac:dyDescent="0.25">
      <c r="A28" s="86">
        <v>21</v>
      </c>
      <c r="B28" s="85"/>
      <c r="C28" s="85"/>
      <c r="D28" s="85" t="s">
        <v>560</v>
      </c>
      <c r="E28" s="86">
        <v>20</v>
      </c>
      <c r="F28" s="194">
        <v>2000</v>
      </c>
      <c r="G28" s="194">
        <f t="shared" si="0"/>
        <v>40000</v>
      </c>
      <c r="H28" s="207" t="s">
        <v>563</v>
      </c>
    </row>
    <row r="29" spans="1:8" x14ac:dyDescent="0.25">
      <c r="A29" s="86">
        <v>22</v>
      </c>
      <c r="B29" s="85"/>
      <c r="C29" s="85"/>
      <c r="D29" s="85" t="s">
        <v>561</v>
      </c>
      <c r="E29" s="86">
        <v>20</v>
      </c>
      <c r="F29" s="194">
        <v>3000</v>
      </c>
      <c r="G29" s="194">
        <f t="shared" si="0"/>
        <v>60000</v>
      </c>
      <c r="H29" s="207" t="s">
        <v>562</v>
      </c>
    </row>
    <row r="30" spans="1:8" x14ac:dyDescent="0.25">
      <c r="A30" s="86">
        <v>23</v>
      </c>
      <c r="B30" s="85"/>
      <c r="C30" s="85"/>
      <c r="D30" s="85" t="s">
        <v>564</v>
      </c>
      <c r="E30" s="86">
        <v>17</v>
      </c>
      <c r="F30" s="194">
        <v>3000</v>
      </c>
      <c r="G30" s="194">
        <f t="shared" si="0"/>
        <v>51000</v>
      </c>
      <c r="H30" s="207" t="s">
        <v>565</v>
      </c>
    </row>
    <row r="31" spans="1:8" x14ac:dyDescent="0.25">
      <c r="A31" s="86">
        <v>24</v>
      </c>
      <c r="B31" s="85"/>
      <c r="C31" s="85"/>
      <c r="D31" s="85" t="s">
        <v>57</v>
      </c>
      <c r="E31" s="86">
        <v>150</v>
      </c>
      <c r="F31" s="194">
        <v>50</v>
      </c>
      <c r="G31" s="194">
        <f t="shared" si="0"/>
        <v>7500</v>
      </c>
      <c r="H31" s="55"/>
    </row>
    <row r="32" spans="1:8" x14ac:dyDescent="0.25">
      <c r="A32" s="86">
        <v>25</v>
      </c>
      <c r="B32" s="85"/>
      <c r="C32" s="85"/>
      <c r="D32" s="94" t="s">
        <v>194</v>
      </c>
      <c r="E32" s="86">
        <v>150</v>
      </c>
      <c r="F32" s="194">
        <v>50</v>
      </c>
      <c r="G32" s="194">
        <f t="shared" si="0"/>
        <v>7500</v>
      </c>
      <c r="H32" s="55"/>
    </row>
    <row r="33" spans="1:8" x14ac:dyDescent="0.25">
      <c r="A33" s="86">
        <v>26</v>
      </c>
      <c r="B33" s="85"/>
      <c r="C33" s="89"/>
      <c r="D33" s="93" t="s">
        <v>202</v>
      </c>
      <c r="E33" s="86">
        <v>5</v>
      </c>
      <c r="F33" s="194">
        <v>5000</v>
      </c>
      <c r="G33" s="194">
        <f t="shared" si="0"/>
        <v>25000</v>
      </c>
      <c r="H33" s="82" t="s">
        <v>241</v>
      </c>
    </row>
    <row r="34" spans="1:8" x14ac:dyDescent="0.25">
      <c r="A34" s="86">
        <v>27</v>
      </c>
      <c r="B34" s="85"/>
      <c r="C34" s="89"/>
      <c r="D34" s="85" t="s">
        <v>203</v>
      </c>
      <c r="E34" s="86">
        <v>5</v>
      </c>
      <c r="F34" s="194">
        <v>1200</v>
      </c>
      <c r="G34" s="194">
        <f t="shared" si="0"/>
        <v>6000</v>
      </c>
      <c r="H34" s="55"/>
    </row>
    <row r="35" spans="1:8" x14ac:dyDescent="0.25">
      <c r="A35" s="86">
        <v>28</v>
      </c>
      <c r="B35" s="85"/>
      <c r="C35" s="89"/>
      <c r="D35" s="90" t="s">
        <v>204</v>
      </c>
      <c r="E35" s="86">
        <v>10</v>
      </c>
      <c r="F35" s="194">
        <v>1300</v>
      </c>
      <c r="G35" s="194">
        <f t="shared" si="0"/>
        <v>13000</v>
      </c>
      <c r="H35" s="55"/>
    </row>
    <row r="36" spans="1:8" x14ac:dyDescent="0.25">
      <c r="A36" s="86">
        <v>29</v>
      </c>
      <c r="B36" s="85"/>
      <c r="C36" s="85"/>
      <c r="D36" s="85" t="s">
        <v>374</v>
      </c>
      <c r="E36" s="86">
        <v>120</v>
      </c>
      <c r="F36" s="194">
        <v>1200</v>
      </c>
      <c r="G36" s="194">
        <f t="shared" si="0"/>
        <v>144000</v>
      </c>
      <c r="H36" s="55"/>
    </row>
    <row r="37" spans="1:8" x14ac:dyDescent="0.25">
      <c r="A37" s="86">
        <v>30</v>
      </c>
      <c r="B37" s="85"/>
      <c r="C37" s="85"/>
      <c r="D37" s="85" t="s">
        <v>197</v>
      </c>
      <c r="E37" s="86">
        <v>50</v>
      </c>
      <c r="F37" s="194">
        <v>600</v>
      </c>
      <c r="G37" s="194">
        <f t="shared" si="0"/>
        <v>30000</v>
      </c>
      <c r="H37" s="55"/>
    </row>
    <row r="38" spans="1:8" ht="30" x14ac:dyDescent="0.25">
      <c r="A38" s="86">
        <v>31</v>
      </c>
      <c r="B38" s="85"/>
      <c r="C38" s="89"/>
      <c r="D38" s="87" t="s">
        <v>557</v>
      </c>
      <c r="E38" s="86">
        <v>2</v>
      </c>
      <c r="F38" s="194">
        <v>2000</v>
      </c>
      <c r="G38" s="194">
        <f t="shared" si="0"/>
        <v>4000</v>
      </c>
      <c r="H38" s="208" t="s">
        <v>556</v>
      </c>
    </row>
    <row r="39" spans="1:8" ht="30" x14ac:dyDescent="0.25">
      <c r="A39" s="86">
        <v>32</v>
      </c>
      <c r="B39" s="85"/>
      <c r="C39" s="89"/>
      <c r="D39" s="88" t="s">
        <v>559</v>
      </c>
      <c r="E39" s="86">
        <v>2</v>
      </c>
      <c r="F39" s="194">
        <v>10000</v>
      </c>
      <c r="G39" s="194">
        <f t="shared" si="0"/>
        <v>20000</v>
      </c>
      <c r="H39" s="208" t="s">
        <v>558</v>
      </c>
    </row>
    <row r="40" spans="1:8" x14ac:dyDescent="0.25">
      <c r="A40" s="86">
        <v>34</v>
      </c>
      <c r="B40" s="85"/>
      <c r="C40" s="89"/>
      <c r="D40" s="87" t="s">
        <v>312</v>
      </c>
      <c r="E40" s="86">
        <v>20</v>
      </c>
      <c r="F40" s="194">
        <v>1140</v>
      </c>
      <c r="G40" s="194">
        <f t="shared" si="0"/>
        <v>22800</v>
      </c>
      <c r="H40" s="55"/>
    </row>
    <row r="41" spans="1:8" x14ac:dyDescent="0.25">
      <c r="A41" s="86">
        <v>35</v>
      </c>
      <c r="B41" s="85"/>
      <c r="C41" s="89"/>
      <c r="D41" s="88" t="s">
        <v>311</v>
      </c>
      <c r="E41" s="86">
        <v>50</v>
      </c>
      <c r="F41" s="194">
        <v>430</v>
      </c>
      <c r="G41" s="194">
        <f t="shared" si="0"/>
        <v>21500</v>
      </c>
      <c r="H41" s="55"/>
    </row>
    <row r="42" spans="1:8" x14ac:dyDescent="0.25">
      <c r="A42" s="86">
        <v>36</v>
      </c>
      <c r="B42" s="85"/>
      <c r="C42" s="89"/>
      <c r="D42" s="87" t="s">
        <v>360</v>
      </c>
      <c r="E42" s="86">
        <v>20</v>
      </c>
      <c r="F42" s="194">
        <v>350</v>
      </c>
      <c r="G42" s="194">
        <f t="shared" si="0"/>
        <v>7000</v>
      </c>
      <c r="H42" s="55"/>
    </row>
    <row r="43" spans="1:8" x14ac:dyDescent="0.25">
      <c r="A43" s="86">
        <v>36</v>
      </c>
      <c r="B43" s="85"/>
      <c r="C43" s="89"/>
      <c r="D43" s="87" t="s">
        <v>361</v>
      </c>
      <c r="E43" s="86">
        <v>20</v>
      </c>
      <c r="F43" s="194">
        <v>350</v>
      </c>
      <c r="G43" s="194">
        <f t="shared" si="0"/>
        <v>7000</v>
      </c>
      <c r="H43" s="55"/>
    </row>
    <row r="44" spans="1:8" x14ac:dyDescent="0.25">
      <c r="A44" s="86">
        <v>37</v>
      </c>
      <c r="B44" s="85"/>
      <c r="C44" s="89"/>
      <c r="D44" s="87" t="s">
        <v>323</v>
      </c>
      <c r="E44" s="86">
        <v>10</v>
      </c>
      <c r="F44" s="194">
        <v>1150</v>
      </c>
      <c r="G44" s="194">
        <f t="shared" si="0"/>
        <v>11500</v>
      </c>
      <c r="H44" s="55"/>
    </row>
    <row r="45" spans="1:8" x14ac:dyDescent="0.25">
      <c r="A45" s="86">
        <v>38</v>
      </c>
      <c r="B45" s="85"/>
      <c r="C45" s="89"/>
      <c r="D45" s="87" t="s">
        <v>292</v>
      </c>
      <c r="E45" s="86">
        <v>10</v>
      </c>
      <c r="F45" s="194">
        <v>70</v>
      </c>
      <c r="G45" s="194">
        <f t="shared" si="0"/>
        <v>700</v>
      </c>
      <c r="H45" s="55"/>
    </row>
    <row r="46" spans="1:8" x14ac:dyDescent="0.25">
      <c r="A46" s="86">
        <v>39</v>
      </c>
      <c r="B46" s="85"/>
      <c r="C46" s="89"/>
      <c r="D46" s="85" t="s">
        <v>195</v>
      </c>
      <c r="E46" s="86">
        <v>50</v>
      </c>
      <c r="F46" s="194">
        <v>250</v>
      </c>
      <c r="G46" s="194">
        <f t="shared" si="0"/>
        <v>12500</v>
      </c>
      <c r="H46" s="55"/>
    </row>
    <row r="47" spans="1:8" x14ac:dyDescent="0.25">
      <c r="A47" s="86">
        <v>40</v>
      </c>
      <c r="B47" s="85"/>
      <c r="C47" s="85"/>
      <c r="D47" s="85" t="s">
        <v>56</v>
      </c>
      <c r="E47" s="86">
        <v>10000</v>
      </c>
      <c r="F47" s="194">
        <v>5</v>
      </c>
      <c r="G47" s="194">
        <f t="shared" si="0"/>
        <v>50000</v>
      </c>
      <c r="H47" s="55"/>
    </row>
    <row r="48" spans="1:8" x14ac:dyDescent="0.25">
      <c r="A48" s="86">
        <v>41</v>
      </c>
      <c r="B48" s="85"/>
      <c r="C48" s="85"/>
      <c r="D48" s="98" t="s">
        <v>242</v>
      </c>
      <c r="E48" s="86">
        <v>10000</v>
      </c>
      <c r="F48" s="194">
        <v>5</v>
      </c>
      <c r="G48" s="194">
        <f t="shared" si="0"/>
        <v>50000</v>
      </c>
      <c r="H48" s="55"/>
    </row>
    <row r="49" spans="1:8" x14ac:dyDescent="0.25">
      <c r="A49" s="86">
        <v>42</v>
      </c>
      <c r="B49" s="85"/>
      <c r="C49" s="85"/>
      <c r="D49" s="85" t="s">
        <v>193</v>
      </c>
      <c r="E49" s="86">
        <v>10000</v>
      </c>
      <c r="F49" s="194">
        <v>5</v>
      </c>
      <c r="G49" s="194">
        <f t="shared" si="0"/>
        <v>50000</v>
      </c>
      <c r="H49" s="55"/>
    </row>
    <row r="50" spans="1:8" x14ac:dyDescent="0.25">
      <c r="A50" s="86">
        <v>43</v>
      </c>
      <c r="B50" s="85"/>
      <c r="C50" s="85"/>
      <c r="D50" s="85" t="s">
        <v>189</v>
      </c>
      <c r="E50" s="86">
        <v>1000</v>
      </c>
      <c r="F50" s="194">
        <v>100</v>
      </c>
      <c r="G50" s="194">
        <f t="shared" si="0"/>
        <v>100000</v>
      </c>
      <c r="H50" s="55"/>
    </row>
    <row r="51" spans="1:8" x14ac:dyDescent="0.25">
      <c r="A51" s="86">
        <v>44</v>
      </c>
      <c r="B51" s="85"/>
      <c r="C51" s="85"/>
      <c r="D51" s="85" t="s">
        <v>243</v>
      </c>
      <c r="E51" s="86">
        <v>1000</v>
      </c>
      <c r="F51" s="194">
        <v>100</v>
      </c>
      <c r="G51" s="194">
        <f t="shared" si="0"/>
        <v>100000</v>
      </c>
      <c r="H51" s="55"/>
    </row>
    <row r="52" spans="1:8" x14ac:dyDescent="0.25">
      <c r="A52" s="86">
        <v>45</v>
      </c>
      <c r="B52" s="85"/>
      <c r="C52" s="85"/>
      <c r="D52" s="85" t="s">
        <v>190</v>
      </c>
      <c r="E52" s="86">
        <v>10</v>
      </c>
      <c r="F52" s="194">
        <v>250</v>
      </c>
      <c r="G52" s="194">
        <f t="shared" si="0"/>
        <v>2500</v>
      </c>
      <c r="H52" s="55"/>
    </row>
    <row r="53" spans="1:8" x14ac:dyDescent="0.25">
      <c r="A53" s="86">
        <v>46</v>
      </c>
      <c r="B53" s="85"/>
      <c r="C53" s="85"/>
      <c r="D53" s="85" t="s">
        <v>191</v>
      </c>
      <c r="E53" s="86">
        <v>25</v>
      </c>
      <c r="F53" s="194">
        <v>250</v>
      </c>
      <c r="G53" s="194">
        <f t="shared" si="0"/>
        <v>6250</v>
      </c>
      <c r="H53" s="55"/>
    </row>
    <row r="54" spans="1:8" x14ac:dyDescent="0.25">
      <c r="A54" s="86">
        <v>47</v>
      </c>
      <c r="B54" s="85"/>
      <c r="C54" s="85"/>
      <c r="D54" s="85" t="s">
        <v>400</v>
      </c>
      <c r="E54" s="86">
        <v>200</v>
      </c>
      <c r="F54" s="194">
        <v>150</v>
      </c>
      <c r="G54" s="194">
        <f t="shared" si="0"/>
        <v>30000</v>
      </c>
      <c r="H54" s="55"/>
    </row>
    <row r="55" spans="1:8" x14ac:dyDescent="0.25">
      <c r="A55" s="86">
        <v>48</v>
      </c>
      <c r="B55" s="85"/>
      <c r="C55" s="85"/>
      <c r="D55" s="85" t="s">
        <v>401</v>
      </c>
      <c r="E55" s="86">
        <v>200</v>
      </c>
      <c r="F55" s="194">
        <v>150</v>
      </c>
      <c r="G55" s="194">
        <f t="shared" si="0"/>
        <v>30000</v>
      </c>
      <c r="H55" s="55"/>
    </row>
    <row r="56" spans="1:8" x14ac:dyDescent="0.25">
      <c r="A56" s="86">
        <v>49</v>
      </c>
      <c r="B56" s="85"/>
      <c r="C56" s="85"/>
      <c r="D56" s="85" t="s">
        <v>402</v>
      </c>
      <c r="E56" s="86">
        <v>100</v>
      </c>
      <c r="F56" s="194">
        <v>350</v>
      </c>
      <c r="G56" s="194">
        <f t="shared" si="0"/>
        <v>35000</v>
      </c>
      <c r="H56" s="55"/>
    </row>
    <row r="57" spans="1:8" x14ac:dyDescent="0.25">
      <c r="A57" s="86">
        <v>50</v>
      </c>
      <c r="B57" s="85"/>
      <c r="C57" s="85"/>
      <c r="D57" s="85" t="s">
        <v>403</v>
      </c>
      <c r="E57" s="86">
        <v>100</v>
      </c>
      <c r="F57" s="194">
        <v>350</v>
      </c>
      <c r="G57" s="194">
        <f t="shared" si="0"/>
        <v>35000</v>
      </c>
      <c r="H57" s="55"/>
    </row>
    <row r="58" spans="1:8" x14ac:dyDescent="0.25">
      <c r="A58" s="86">
        <v>51</v>
      </c>
      <c r="B58" s="85"/>
      <c r="C58" s="85"/>
      <c r="D58" s="85" t="s">
        <v>363</v>
      </c>
      <c r="E58" s="86">
        <v>10</v>
      </c>
      <c r="F58" s="194">
        <v>50</v>
      </c>
      <c r="G58" s="194">
        <f t="shared" si="0"/>
        <v>500</v>
      </c>
      <c r="H58" s="55"/>
    </row>
    <row r="59" spans="1:8" x14ac:dyDescent="0.25">
      <c r="A59" s="86">
        <v>52</v>
      </c>
      <c r="B59" s="85"/>
      <c r="C59" s="85"/>
      <c r="D59" s="85" t="s">
        <v>434</v>
      </c>
      <c r="E59" s="86">
        <v>1</v>
      </c>
      <c r="F59" s="194">
        <v>1500</v>
      </c>
      <c r="G59" s="194">
        <f t="shared" si="0"/>
        <v>1500</v>
      </c>
      <c r="H59" s="55"/>
    </row>
    <row r="60" spans="1:8" x14ac:dyDescent="0.25">
      <c r="A60" s="86">
        <v>53</v>
      </c>
      <c r="B60" s="85"/>
      <c r="C60" s="85"/>
      <c r="D60" s="85" t="s">
        <v>364</v>
      </c>
      <c r="E60" s="86">
        <v>2</v>
      </c>
      <c r="F60" s="194">
        <v>1400</v>
      </c>
      <c r="G60" s="194">
        <f t="shared" si="0"/>
        <v>2800</v>
      </c>
      <c r="H60" s="55"/>
    </row>
    <row r="61" spans="1:8" x14ac:dyDescent="0.25">
      <c r="A61" s="86">
        <v>54</v>
      </c>
      <c r="B61" s="85"/>
      <c r="C61" s="85"/>
      <c r="D61" s="85" t="s">
        <v>365</v>
      </c>
      <c r="E61" s="86">
        <v>200</v>
      </c>
      <c r="F61" s="194">
        <v>10</v>
      </c>
      <c r="G61" s="194">
        <f t="shared" si="0"/>
        <v>2000</v>
      </c>
      <c r="H61" s="55"/>
    </row>
    <row r="62" spans="1:8" x14ac:dyDescent="0.25">
      <c r="A62" s="86">
        <v>55</v>
      </c>
      <c r="B62" s="85"/>
      <c r="C62" s="85"/>
      <c r="D62" s="85" t="s">
        <v>192</v>
      </c>
      <c r="E62" s="86">
        <v>4000</v>
      </c>
      <c r="F62" s="194">
        <v>20</v>
      </c>
      <c r="G62" s="194">
        <f t="shared" si="0"/>
        <v>80000</v>
      </c>
      <c r="H62" s="55"/>
    </row>
    <row r="63" spans="1:8" x14ac:dyDescent="0.25">
      <c r="A63" s="86">
        <v>56</v>
      </c>
      <c r="B63" s="85"/>
      <c r="C63" s="85"/>
      <c r="D63" s="85" t="s">
        <v>350</v>
      </c>
      <c r="E63" s="86">
        <v>1000</v>
      </c>
      <c r="F63" s="194">
        <v>7</v>
      </c>
      <c r="G63" s="194">
        <f t="shared" si="0"/>
        <v>7000</v>
      </c>
      <c r="H63" s="55"/>
    </row>
    <row r="64" spans="1:8" x14ac:dyDescent="0.25">
      <c r="A64" s="86">
        <v>57</v>
      </c>
      <c r="B64" s="85"/>
      <c r="C64" s="85"/>
      <c r="D64" s="99" t="s">
        <v>378</v>
      </c>
      <c r="E64" s="86">
        <v>12</v>
      </c>
      <c r="F64" s="194">
        <v>700</v>
      </c>
      <c r="G64" s="194">
        <f t="shared" si="0"/>
        <v>8400</v>
      </c>
      <c r="H64" s="55"/>
    </row>
    <row r="65" spans="1:8" x14ac:dyDescent="0.25">
      <c r="A65" s="86">
        <v>58</v>
      </c>
      <c r="B65" s="85"/>
      <c r="C65" s="85"/>
      <c r="D65" s="87" t="s">
        <v>375</v>
      </c>
      <c r="E65" s="86">
        <v>100</v>
      </c>
      <c r="F65" s="194">
        <v>7</v>
      </c>
      <c r="G65" s="194">
        <f t="shared" si="0"/>
        <v>700</v>
      </c>
      <c r="H65" s="55"/>
    </row>
    <row r="66" spans="1:8" x14ac:dyDescent="0.25">
      <c r="A66" s="86">
        <v>59</v>
      </c>
      <c r="B66" s="85"/>
      <c r="C66" s="85"/>
      <c r="D66" s="87" t="s">
        <v>376</v>
      </c>
      <c r="E66" s="86">
        <v>100</v>
      </c>
      <c r="F66" s="194">
        <v>7</v>
      </c>
      <c r="G66" s="194">
        <f t="shared" si="0"/>
        <v>700</v>
      </c>
      <c r="H66" s="55"/>
    </row>
    <row r="67" spans="1:8" x14ac:dyDescent="0.25">
      <c r="A67" s="86">
        <v>60</v>
      </c>
      <c r="B67" s="85"/>
      <c r="C67" s="85"/>
      <c r="D67" s="87" t="s">
        <v>377</v>
      </c>
      <c r="E67" s="86">
        <v>100</v>
      </c>
      <c r="F67" s="194">
        <v>7</v>
      </c>
      <c r="G67" s="194">
        <f t="shared" si="0"/>
        <v>700</v>
      </c>
      <c r="H67" s="55"/>
    </row>
    <row r="68" spans="1:8" x14ac:dyDescent="0.25">
      <c r="A68" s="86">
        <v>61</v>
      </c>
      <c r="B68" s="85"/>
      <c r="C68" s="85"/>
      <c r="D68" s="87" t="s">
        <v>379</v>
      </c>
      <c r="E68" s="86">
        <v>1000</v>
      </c>
      <c r="F68" s="194">
        <v>7</v>
      </c>
      <c r="G68" s="194">
        <f t="shared" si="0"/>
        <v>7000</v>
      </c>
      <c r="H68" s="55"/>
    </row>
    <row r="69" spans="1:8" x14ac:dyDescent="0.25">
      <c r="A69" s="86">
        <v>62</v>
      </c>
      <c r="B69" s="85"/>
      <c r="C69" s="85"/>
      <c r="D69" s="87" t="s">
        <v>380</v>
      </c>
      <c r="E69" s="86">
        <v>30</v>
      </c>
      <c r="F69" s="194">
        <v>50</v>
      </c>
      <c r="G69" s="194">
        <f t="shared" si="0"/>
        <v>1500</v>
      </c>
      <c r="H69" s="55"/>
    </row>
    <row r="70" spans="1:8" x14ac:dyDescent="0.25">
      <c r="A70" s="86">
        <v>63</v>
      </c>
      <c r="B70" s="85"/>
      <c r="C70" s="85"/>
      <c r="D70" s="87" t="s">
        <v>381</v>
      </c>
      <c r="E70" s="86">
        <v>30</v>
      </c>
      <c r="F70" s="194">
        <v>50</v>
      </c>
      <c r="G70" s="194">
        <f t="shared" si="0"/>
        <v>1500</v>
      </c>
      <c r="H70" s="55"/>
    </row>
    <row r="71" spans="1:8" x14ac:dyDescent="0.25">
      <c r="A71" s="86">
        <v>64</v>
      </c>
      <c r="B71" s="85"/>
      <c r="C71" s="85"/>
      <c r="D71" s="87" t="s">
        <v>382</v>
      </c>
      <c r="E71" s="86">
        <v>30</v>
      </c>
      <c r="F71" s="194">
        <v>50</v>
      </c>
      <c r="G71" s="194">
        <f t="shared" si="0"/>
        <v>1500</v>
      </c>
      <c r="H71" s="55"/>
    </row>
    <row r="72" spans="1:8" x14ac:dyDescent="0.25">
      <c r="A72" s="86">
        <v>65</v>
      </c>
      <c r="B72" s="85"/>
      <c r="C72" s="85"/>
      <c r="D72" s="87" t="s">
        <v>383</v>
      </c>
      <c r="E72" s="86">
        <v>30</v>
      </c>
      <c r="F72" s="194">
        <v>50</v>
      </c>
      <c r="G72" s="194">
        <f t="shared" si="0"/>
        <v>1500</v>
      </c>
      <c r="H72" s="55"/>
    </row>
    <row r="73" spans="1:8" x14ac:dyDescent="0.25">
      <c r="A73" s="86">
        <v>67</v>
      </c>
      <c r="B73" s="85"/>
      <c r="C73" s="85"/>
      <c r="D73" s="87" t="s">
        <v>384</v>
      </c>
      <c r="E73" s="86">
        <v>30</v>
      </c>
      <c r="F73" s="194">
        <v>50</v>
      </c>
      <c r="G73" s="194">
        <f t="shared" si="0"/>
        <v>1500</v>
      </c>
      <c r="H73" s="55"/>
    </row>
    <row r="74" spans="1:8" x14ac:dyDescent="0.25">
      <c r="A74" s="86">
        <v>68</v>
      </c>
      <c r="B74" s="85"/>
      <c r="C74" s="85"/>
      <c r="D74" s="87" t="s">
        <v>385</v>
      </c>
      <c r="E74" s="86">
        <v>30</v>
      </c>
      <c r="F74" s="194">
        <v>50</v>
      </c>
      <c r="G74" s="194">
        <f t="shared" si="0"/>
        <v>1500</v>
      </c>
      <c r="H74" s="55"/>
    </row>
    <row r="75" spans="1:8" x14ac:dyDescent="0.25">
      <c r="A75" s="86">
        <v>69</v>
      </c>
      <c r="B75" s="85"/>
      <c r="C75" s="85"/>
      <c r="D75" s="87" t="s">
        <v>386</v>
      </c>
      <c r="E75" s="86">
        <v>30</v>
      </c>
      <c r="F75" s="194">
        <v>140</v>
      </c>
      <c r="G75" s="194">
        <f t="shared" si="0"/>
        <v>4200</v>
      </c>
      <c r="H75" s="55"/>
    </row>
    <row r="76" spans="1:8" x14ac:dyDescent="0.25">
      <c r="A76" s="86">
        <v>70</v>
      </c>
      <c r="B76" s="85"/>
      <c r="C76" s="85"/>
      <c r="D76" s="85" t="s">
        <v>387</v>
      </c>
      <c r="E76" s="86">
        <v>30</v>
      </c>
      <c r="F76" s="194">
        <v>100</v>
      </c>
      <c r="G76" s="194">
        <f t="shared" si="0"/>
        <v>3000</v>
      </c>
      <c r="H76" s="55"/>
    </row>
    <row r="77" spans="1:8" x14ac:dyDescent="0.25">
      <c r="A77" s="86">
        <v>71</v>
      </c>
      <c r="B77" s="85"/>
      <c r="C77" s="85"/>
      <c r="D77" s="85" t="s">
        <v>388</v>
      </c>
      <c r="E77" s="86">
        <v>50</v>
      </c>
      <c r="F77" s="194">
        <v>70</v>
      </c>
      <c r="G77" s="194">
        <f t="shared" si="0"/>
        <v>3500</v>
      </c>
      <c r="H77" s="55"/>
    </row>
    <row r="78" spans="1:8" x14ac:dyDescent="0.25">
      <c r="A78" s="86">
        <v>72</v>
      </c>
      <c r="B78" s="85"/>
      <c r="C78" s="85"/>
      <c r="D78" s="87" t="s">
        <v>389</v>
      </c>
      <c r="E78" s="86">
        <v>5</v>
      </c>
      <c r="F78" s="194">
        <v>430</v>
      </c>
      <c r="G78" s="194">
        <f t="shared" si="0"/>
        <v>2150</v>
      </c>
      <c r="H78" s="55"/>
    </row>
    <row r="79" spans="1:8" x14ac:dyDescent="0.25">
      <c r="A79" s="86">
        <v>73</v>
      </c>
      <c r="B79" s="85"/>
      <c r="C79" s="85"/>
      <c r="D79" s="87" t="s">
        <v>390</v>
      </c>
      <c r="E79" s="86">
        <v>5</v>
      </c>
      <c r="F79" s="194">
        <v>1450</v>
      </c>
      <c r="G79" s="194">
        <f t="shared" ref="G79:G113" si="1">E79*F79</f>
        <v>7250</v>
      </c>
      <c r="H79" s="55"/>
    </row>
    <row r="80" spans="1:8" x14ac:dyDescent="0.25">
      <c r="A80" s="86">
        <v>74</v>
      </c>
      <c r="B80" s="85"/>
      <c r="C80" s="85"/>
      <c r="D80" s="87" t="s">
        <v>391</v>
      </c>
      <c r="E80" s="86">
        <v>30</v>
      </c>
      <c r="F80" s="194">
        <v>40</v>
      </c>
      <c r="G80" s="194">
        <f t="shared" si="1"/>
        <v>1200</v>
      </c>
      <c r="H80" s="55"/>
    </row>
    <row r="81" spans="1:8" x14ac:dyDescent="0.25">
      <c r="A81" s="86">
        <v>75</v>
      </c>
      <c r="B81" s="85"/>
      <c r="C81" s="85"/>
      <c r="D81" s="87" t="s">
        <v>392</v>
      </c>
      <c r="E81" s="86">
        <v>5</v>
      </c>
      <c r="F81" s="194">
        <v>170</v>
      </c>
      <c r="G81" s="194">
        <f t="shared" si="1"/>
        <v>850</v>
      </c>
      <c r="H81" s="55"/>
    </row>
    <row r="82" spans="1:8" x14ac:dyDescent="0.25">
      <c r="A82" s="86">
        <v>76</v>
      </c>
      <c r="B82" s="85"/>
      <c r="C82" s="85"/>
      <c r="D82" s="85" t="s">
        <v>393</v>
      </c>
      <c r="E82" s="86">
        <v>1</v>
      </c>
      <c r="F82" s="194">
        <v>3200</v>
      </c>
      <c r="G82" s="194">
        <f t="shared" si="1"/>
        <v>3200</v>
      </c>
      <c r="H82" s="55"/>
    </row>
    <row r="83" spans="1:8" x14ac:dyDescent="0.25">
      <c r="A83" s="86">
        <v>77</v>
      </c>
      <c r="B83" s="85"/>
      <c r="C83" s="85"/>
      <c r="D83" s="87" t="s">
        <v>395</v>
      </c>
      <c r="E83" s="86">
        <v>30</v>
      </c>
      <c r="F83" s="194">
        <v>430</v>
      </c>
      <c r="G83" s="194">
        <f t="shared" si="1"/>
        <v>12900</v>
      </c>
      <c r="H83" s="55"/>
    </row>
    <row r="84" spans="1:8" x14ac:dyDescent="0.25">
      <c r="A84" s="86">
        <v>78</v>
      </c>
      <c r="B84" s="85"/>
      <c r="C84" s="85"/>
      <c r="D84" s="85" t="s">
        <v>394</v>
      </c>
      <c r="E84" s="86">
        <v>60</v>
      </c>
      <c r="F84" s="194">
        <v>30</v>
      </c>
      <c r="G84" s="194">
        <f t="shared" si="1"/>
        <v>1800</v>
      </c>
      <c r="H84" s="55"/>
    </row>
    <row r="85" spans="1:8" x14ac:dyDescent="0.25">
      <c r="A85" s="86">
        <v>79</v>
      </c>
      <c r="B85" s="85"/>
      <c r="C85" s="85"/>
      <c r="D85" s="87" t="s">
        <v>396</v>
      </c>
      <c r="E85" s="86">
        <v>3</v>
      </c>
      <c r="F85" s="194">
        <v>150</v>
      </c>
      <c r="G85" s="194">
        <f t="shared" si="1"/>
        <v>450</v>
      </c>
      <c r="H85" s="55"/>
    </row>
    <row r="86" spans="1:8" x14ac:dyDescent="0.25">
      <c r="A86" s="86">
        <v>80</v>
      </c>
      <c r="B86" s="85"/>
      <c r="C86" s="85"/>
      <c r="D86" s="85" t="s">
        <v>397</v>
      </c>
      <c r="E86" s="86">
        <v>1000</v>
      </c>
      <c r="F86" s="194">
        <v>10</v>
      </c>
      <c r="G86" s="194">
        <f t="shared" si="1"/>
        <v>10000</v>
      </c>
      <c r="H86" s="55"/>
    </row>
    <row r="87" spans="1:8" x14ac:dyDescent="0.25">
      <c r="A87" s="86">
        <v>81</v>
      </c>
      <c r="B87" s="85"/>
      <c r="C87" s="85"/>
      <c r="D87" s="87" t="s">
        <v>433</v>
      </c>
      <c r="E87" s="86">
        <v>2</v>
      </c>
      <c r="F87" s="194">
        <v>300</v>
      </c>
      <c r="G87" s="194">
        <f t="shared" si="1"/>
        <v>600</v>
      </c>
      <c r="H87" s="55"/>
    </row>
    <row r="88" spans="1:8" x14ac:dyDescent="0.25">
      <c r="A88" s="86">
        <v>82</v>
      </c>
      <c r="B88" s="85"/>
      <c r="C88" s="85"/>
      <c r="D88" s="87" t="s">
        <v>431</v>
      </c>
      <c r="E88" s="86">
        <v>2</v>
      </c>
      <c r="F88" s="194">
        <v>10</v>
      </c>
      <c r="G88" s="194">
        <f t="shared" si="1"/>
        <v>20</v>
      </c>
      <c r="H88" s="55"/>
    </row>
    <row r="89" spans="1:8" x14ac:dyDescent="0.25">
      <c r="A89" s="86">
        <v>83</v>
      </c>
      <c r="B89" s="85"/>
      <c r="C89" s="85"/>
      <c r="D89" s="87" t="s">
        <v>430</v>
      </c>
      <c r="E89" s="86">
        <v>2</v>
      </c>
      <c r="F89" s="194">
        <v>10</v>
      </c>
      <c r="G89" s="194">
        <f t="shared" si="1"/>
        <v>20</v>
      </c>
      <c r="H89" s="55"/>
    </row>
    <row r="90" spans="1:8" x14ac:dyDescent="0.25">
      <c r="A90" s="86">
        <v>84</v>
      </c>
      <c r="B90" s="85"/>
      <c r="C90" s="85"/>
      <c r="D90" s="87" t="s">
        <v>432</v>
      </c>
      <c r="E90" s="86">
        <v>2</v>
      </c>
      <c r="F90" s="194">
        <v>10</v>
      </c>
      <c r="G90" s="194">
        <f t="shared" si="1"/>
        <v>20</v>
      </c>
      <c r="H90" s="55"/>
    </row>
    <row r="91" spans="1:8" x14ac:dyDescent="0.25">
      <c r="A91" s="86">
        <v>85</v>
      </c>
      <c r="B91" s="41"/>
      <c r="C91" s="41"/>
      <c r="D91" s="87" t="s">
        <v>367</v>
      </c>
      <c r="E91" s="86">
        <v>2</v>
      </c>
      <c r="F91" s="194">
        <v>95000</v>
      </c>
      <c r="G91" s="194">
        <f t="shared" si="1"/>
        <v>190000</v>
      </c>
      <c r="H91" s="204" t="s">
        <v>284</v>
      </c>
    </row>
    <row r="92" spans="1:8" x14ac:dyDescent="0.25">
      <c r="A92" s="86">
        <v>86</v>
      </c>
      <c r="B92" s="41"/>
      <c r="C92" s="41"/>
      <c r="D92" s="88" t="s">
        <v>368</v>
      </c>
      <c r="E92" s="86">
        <v>6</v>
      </c>
      <c r="F92" s="194">
        <v>430</v>
      </c>
      <c r="G92" s="194">
        <f t="shared" si="1"/>
        <v>2580</v>
      </c>
      <c r="H92" s="55"/>
    </row>
    <row r="93" spans="1:8" x14ac:dyDescent="0.25">
      <c r="A93" s="86">
        <v>87</v>
      </c>
      <c r="B93" s="41"/>
      <c r="C93" s="41"/>
      <c r="D93" s="87" t="s">
        <v>369</v>
      </c>
      <c r="E93" s="86">
        <v>2</v>
      </c>
      <c r="F93" s="194">
        <v>5500</v>
      </c>
      <c r="G93" s="194">
        <f t="shared" si="1"/>
        <v>11000</v>
      </c>
      <c r="H93" s="55"/>
    </row>
    <row r="94" spans="1:8" x14ac:dyDescent="0.25">
      <c r="A94" s="86">
        <v>88</v>
      </c>
      <c r="B94" s="41"/>
      <c r="C94" s="41"/>
      <c r="D94" s="87" t="s">
        <v>370</v>
      </c>
      <c r="E94" s="86">
        <v>2</v>
      </c>
      <c r="F94" s="194">
        <v>4500</v>
      </c>
      <c r="G94" s="194">
        <f t="shared" si="1"/>
        <v>9000</v>
      </c>
      <c r="H94" s="55"/>
    </row>
    <row r="95" spans="1:8" x14ac:dyDescent="0.25">
      <c r="A95" s="86">
        <v>89</v>
      </c>
      <c r="B95" s="41"/>
      <c r="C95" s="41"/>
      <c r="D95" s="87" t="s">
        <v>371</v>
      </c>
      <c r="E95" s="86">
        <v>2</v>
      </c>
      <c r="F95" s="194">
        <v>4000</v>
      </c>
      <c r="G95" s="194">
        <f t="shared" si="1"/>
        <v>8000</v>
      </c>
      <c r="H95" s="55"/>
    </row>
    <row r="96" spans="1:8" x14ac:dyDescent="0.25">
      <c r="A96" s="86">
        <v>90</v>
      </c>
      <c r="B96" s="41"/>
      <c r="C96" s="41"/>
      <c r="D96" s="87" t="s">
        <v>372</v>
      </c>
      <c r="E96" s="86">
        <v>2</v>
      </c>
      <c r="F96" s="194">
        <v>5000</v>
      </c>
      <c r="G96" s="194">
        <f t="shared" si="1"/>
        <v>10000</v>
      </c>
      <c r="H96" s="55"/>
    </row>
    <row r="97" spans="1:8" x14ac:dyDescent="0.25">
      <c r="A97" s="86">
        <v>91</v>
      </c>
      <c r="B97" s="41"/>
      <c r="C97" s="41"/>
      <c r="D97" s="87" t="s">
        <v>373</v>
      </c>
      <c r="E97" s="86">
        <v>2</v>
      </c>
      <c r="F97" s="194">
        <v>2000</v>
      </c>
      <c r="G97" s="194">
        <f t="shared" si="1"/>
        <v>4000</v>
      </c>
      <c r="H97" s="55"/>
    </row>
    <row r="98" spans="1:8" x14ac:dyDescent="0.25">
      <c r="A98" s="86">
        <v>92</v>
      </c>
      <c r="B98" s="85"/>
      <c r="C98" s="85"/>
      <c r="D98" s="85" t="s">
        <v>399</v>
      </c>
      <c r="E98" s="86">
        <v>3</v>
      </c>
      <c r="F98" s="194">
        <v>1000</v>
      </c>
      <c r="G98" s="194">
        <f t="shared" si="1"/>
        <v>3000</v>
      </c>
      <c r="H98" s="55"/>
    </row>
    <row r="99" spans="1:8" x14ac:dyDescent="0.25">
      <c r="A99" s="86">
        <v>93</v>
      </c>
      <c r="B99" s="85"/>
      <c r="C99" s="85"/>
      <c r="D99" s="85" t="s">
        <v>398</v>
      </c>
      <c r="E99" s="86">
        <v>3</v>
      </c>
      <c r="F99" s="194">
        <v>150</v>
      </c>
      <c r="G99" s="194">
        <f t="shared" si="1"/>
        <v>450</v>
      </c>
      <c r="H99" s="55"/>
    </row>
    <row r="100" spans="1:8" x14ac:dyDescent="0.25">
      <c r="A100" s="86">
        <v>94</v>
      </c>
      <c r="B100" s="85"/>
      <c r="C100" s="85"/>
      <c r="D100" s="85" t="s">
        <v>524</v>
      </c>
      <c r="E100" s="86">
        <v>12</v>
      </c>
      <c r="F100" s="143">
        <v>800</v>
      </c>
      <c r="G100" s="194">
        <f t="shared" si="1"/>
        <v>9600</v>
      </c>
      <c r="H100" s="55"/>
    </row>
    <row r="101" spans="1:8" x14ac:dyDescent="0.25">
      <c r="A101" s="144">
        <v>95</v>
      </c>
      <c r="B101" s="85"/>
      <c r="C101" s="85"/>
      <c r="D101" s="85" t="s">
        <v>525</v>
      </c>
      <c r="E101" s="86">
        <v>5</v>
      </c>
      <c r="F101" s="143">
        <v>1200</v>
      </c>
      <c r="G101" s="194">
        <f t="shared" si="1"/>
        <v>6000</v>
      </c>
      <c r="H101" s="82" t="s">
        <v>537</v>
      </c>
    </row>
    <row r="102" spans="1:8" x14ac:dyDescent="0.25">
      <c r="A102" s="144">
        <v>96</v>
      </c>
      <c r="B102" s="85"/>
      <c r="C102" s="85"/>
      <c r="D102" s="85" t="s">
        <v>526</v>
      </c>
      <c r="E102" s="86">
        <v>1</v>
      </c>
      <c r="F102" s="143">
        <v>200</v>
      </c>
      <c r="G102" s="194">
        <f t="shared" si="1"/>
        <v>200</v>
      </c>
      <c r="H102" s="55"/>
    </row>
    <row r="103" spans="1:8" x14ac:dyDescent="0.25">
      <c r="A103" s="144">
        <v>97</v>
      </c>
      <c r="B103" s="85"/>
      <c r="C103" s="85"/>
      <c r="D103" s="85" t="s">
        <v>527</v>
      </c>
      <c r="E103" s="86">
        <v>15</v>
      </c>
      <c r="F103" s="143">
        <v>1200</v>
      </c>
      <c r="G103" s="194">
        <f t="shared" si="1"/>
        <v>18000</v>
      </c>
      <c r="H103" s="55"/>
    </row>
    <row r="104" spans="1:8" x14ac:dyDescent="0.25">
      <c r="A104" s="144">
        <v>98</v>
      </c>
      <c r="B104" s="85"/>
      <c r="C104" s="85"/>
      <c r="D104" s="85" t="s">
        <v>528</v>
      </c>
      <c r="E104" s="86">
        <v>2</v>
      </c>
      <c r="F104" s="143">
        <v>500</v>
      </c>
      <c r="G104" s="194">
        <f t="shared" si="1"/>
        <v>1000</v>
      </c>
      <c r="H104" s="55"/>
    </row>
    <row r="105" spans="1:8" x14ac:dyDescent="0.25">
      <c r="A105" s="144">
        <v>99</v>
      </c>
      <c r="B105" s="85"/>
      <c r="C105" s="85"/>
      <c r="D105" s="85" t="s">
        <v>529</v>
      </c>
      <c r="E105" s="86">
        <v>10</v>
      </c>
      <c r="F105" s="143">
        <v>2500</v>
      </c>
      <c r="G105" s="194">
        <f t="shared" si="1"/>
        <v>25000</v>
      </c>
      <c r="H105" s="55"/>
    </row>
    <row r="106" spans="1:8" x14ac:dyDescent="0.25">
      <c r="A106" s="144">
        <v>100</v>
      </c>
      <c r="B106" s="85"/>
      <c r="C106" s="85"/>
      <c r="D106" s="85" t="s">
        <v>530</v>
      </c>
      <c r="E106" s="86">
        <v>10</v>
      </c>
      <c r="F106" s="143">
        <v>2600</v>
      </c>
      <c r="G106" s="194">
        <f t="shared" si="1"/>
        <v>26000</v>
      </c>
      <c r="H106" s="55"/>
    </row>
    <row r="107" spans="1:8" x14ac:dyDescent="0.25">
      <c r="A107" s="144">
        <v>101</v>
      </c>
      <c r="B107" s="85"/>
      <c r="C107" s="85"/>
      <c r="D107" s="85" t="s">
        <v>531</v>
      </c>
      <c r="E107" s="86">
        <v>20</v>
      </c>
      <c r="F107" s="143">
        <v>1500</v>
      </c>
      <c r="G107" s="194">
        <f t="shared" si="1"/>
        <v>30000</v>
      </c>
      <c r="H107" s="55"/>
    </row>
    <row r="108" spans="1:8" x14ac:dyDescent="0.25">
      <c r="A108" s="144">
        <v>102</v>
      </c>
      <c r="B108" s="85"/>
      <c r="C108" s="85"/>
      <c r="D108" s="85" t="s">
        <v>456</v>
      </c>
      <c r="E108" s="86">
        <v>1</v>
      </c>
      <c r="F108" s="143">
        <v>1500</v>
      </c>
      <c r="G108" s="194">
        <f t="shared" si="1"/>
        <v>1500</v>
      </c>
      <c r="H108" s="55"/>
    </row>
    <row r="109" spans="1:8" x14ac:dyDescent="0.25">
      <c r="A109" s="144">
        <v>103</v>
      </c>
      <c r="B109" s="85"/>
      <c r="C109" s="85"/>
      <c r="D109" s="85" t="s">
        <v>532</v>
      </c>
      <c r="E109" s="86">
        <v>1</v>
      </c>
      <c r="F109" s="143">
        <v>1000</v>
      </c>
      <c r="G109" s="194">
        <f t="shared" si="1"/>
        <v>1000</v>
      </c>
      <c r="H109" s="55"/>
    </row>
    <row r="110" spans="1:8" x14ac:dyDescent="0.25">
      <c r="A110" s="144">
        <v>104</v>
      </c>
      <c r="B110" s="85"/>
      <c r="C110" s="85"/>
      <c r="D110" s="85" t="s">
        <v>535</v>
      </c>
      <c r="E110" s="86">
        <v>1</v>
      </c>
      <c r="F110" s="143">
        <v>2000</v>
      </c>
      <c r="G110" s="194">
        <f t="shared" si="1"/>
        <v>2000</v>
      </c>
      <c r="H110" s="55"/>
    </row>
    <row r="111" spans="1:8" x14ac:dyDescent="0.25">
      <c r="A111" s="144">
        <v>105</v>
      </c>
      <c r="B111" s="85"/>
      <c r="C111" s="85"/>
      <c r="D111" s="85" t="s">
        <v>536</v>
      </c>
      <c r="E111" s="86">
        <v>1</v>
      </c>
      <c r="F111" s="143">
        <v>800</v>
      </c>
      <c r="G111" s="194">
        <f t="shared" si="1"/>
        <v>800</v>
      </c>
      <c r="H111" s="55"/>
    </row>
    <row r="112" spans="1:8" x14ac:dyDescent="0.25">
      <c r="A112" s="144">
        <v>106</v>
      </c>
      <c r="B112" s="85"/>
      <c r="C112" s="85"/>
      <c r="D112" s="85" t="s">
        <v>533</v>
      </c>
      <c r="E112" s="86">
        <v>1</v>
      </c>
      <c r="F112" s="143">
        <v>36000</v>
      </c>
      <c r="G112" s="194">
        <f t="shared" si="1"/>
        <v>36000</v>
      </c>
      <c r="H112" s="55"/>
    </row>
    <row r="113" spans="1:8" x14ac:dyDescent="0.25">
      <c r="A113" s="144">
        <v>107</v>
      </c>
      <c r="B113" s="85"/>
      <c r="C113" s="85"/>
      <c r="D113" s="85" t="s">
        <v>534</v>
      </c>
      <c r="E113" s="86">
        <v>36</v>
      </c>
      <c r="F113" s="143">
        <v>350</v>
      </c>
      <c r="G113" s="194">
        <f t="shared" si="1"/>
        <v>12600</v>
      </c>
      <c r="H113" s="55"/>
    </row>
    <row r="114" spans="1:8" x14ac:dyDescent="0.25">
      <c r="A114" s="144"/>
      <c r="B114" s="222" t="s">
        <v>544</v>
      </c>
      <c r="C114" s="223"/>
      <c r="D114" s="85"/>
      <c r="E114" s="85"/>
      <c r="F114" s="193">
        <f>SUM(F8:F113)</f>
        <v>269580</v>
      </c>
      <c r="G114" s="194"/>
      <c r="H114" s="55"/>
    </row>
    <row r="115" spans="1:8" ht="15.75" x14ac:dyDescent="0.25">
      <c r="A115" s="85"/>
      <c r="B115" s="227" t="s">
        <v>545</v>
      </c>
      <c r="C115" s="228"/>
      <c r="D115" s="85"/>
      <c r="E115" s="85"/>
      <c r="F115" s="85"/>
      <c r="G115" s="195">
        <f>SUM(G8:G114)</f>
        <v>4516980</v>
      </c>
      <c r="H115" s="55"/>
    </row>
    <row r="116" spans="1:8" ht="15.75" x14ac:dyDescent="0.25">
      <c r="A116" s="105"/>
      <c r="B116" s="230"/>
      <c r="C116" s="230"/>
      <c r="D116" s="230"/>
      <c r="E116" s="230"/>
    </row>
  </sheetData>
  <mergeCells count="4">
    <mergeCell ref="A2:F2"/>
    <mergeCell ref="B114:C114"/>
    <mergeCell ref="B115:C115"/>
    <mergeCell ref="B116:E116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17" sqref="G17"/>
    </sheetView>
  </sheetViews>
  <sheetFormatPr defaultRowHeight="15" x14ac:dyDescent="0.25"/>
  <cols>
    <col min="1" max="1" width="5.28515625" bestFit="1" customWidth="1"/>
    <col min="2" max="2" width="13.7109375" customWidth="1"/>
    <col min="3" max="3" width="19.85546875" customWidth="1"/>
    <col min="6" max="6" width="19.42578125" customWidth="1"/>
    <col min="7" max="7" width="40.42578125" customWidth="1"/>
  </cols>
  <sheetData>
    <row r="1" spans="1:7" ht="18" x14ac:dyDescent="0.25">
      <c r="B1" s="221" t="s">
        <v>553</v>
      </c>
      <c r="C1" s="221"/>
    </row>
    <row r="3" spans="1:7" ht="15.75" x14ac:dyDescent="0.25">
      <c r="A3" s="11" t="s">
        <v>0</v>
      </c>
      <c r="B3" s="246" t="s">
        <v>268</v>
      </c>
      <c r="C3" s="247"/>
      <c r="D3" s="248" t="s">
        <v>549</v>
      </c>
      <c r="E3" s="248"/>
      <c r="F3" s="248"/>
      <c r="G3" s="173" t="s">
        <v>552</v>
      </c>
    </row>
    <row r="4" spans="1:7" x14ac:dyDescent="0.25">
      <c r="A4" s="97">
        <v>1</v>
      </c>
      <c r="B4" s="45" t="s">
        <v>2</v>
      </c>
      <c r="C4" s="45">
        <v>2200600002</v>
      </c>
      <c r="D4" s="237">
        <v>3644610</v>
      </c>
      <c r="E4" s="238"/>
      <c r="F4" s="239"/>
      <c r="G4" s="46" t="s">
        <v>265</v>
      </c>
    </row>
    <row r="5" spans="1:7" x14ac:dyDescent="0.25">
      <c r="A5" s="97">
        <v>2</v>
      </c>
      <c r="B5" s="45" t="s">
        <v>2</v>
      </c>
      <c r="C5" s="45">
        <v>3112210001</v>
      </c>
      <c r="D5" s="237">
        <v>4516980</v>
      </c>
      <c r="E5" s="238"/>
      <c r="F5" s="239"/>
      <c r="G5" s="46" t="s">
        <v>266</v>
      </c>
    </row>
    <row r="6" spans="1:7" x14ac:dyDescent="0.25">
      <c r="A6" s="97">
        <v>3</v>
      </c>
      <c r="B6" s="45" t="s">
        <v>2</v>
      </c>
      <c r="C6" s="45">
        <v>2201900002</v>
      </c>
      <c r="D6" s="237">
        <v>456630</v>
      </c>
      <c r="E6" s="238"/>
      <c r="F6" s="239"/>
      <c r="G6" s="46" t="s">
        <v>267</v>
      </c>
    </row>
    <row r="7" spans="1:7" x14ac:dyDescent="0.25">
      <c r="A7" s="97">
        <v>4</v>
      </c>
      <c r="B7" s="45" t="s">
        <v>2</v>
      </c>
      <c r="C7" s="45">
        <v>2202000002</v>
      </c>
      <c r="D7" s="237">
        <v>488000</v>
      </c>
      <c r="E7" s="238"/>
      <c r="F7" s="239"/>
      <c r="G7" s="53" t="s">
        <v>342</v>
      </c>
    </row>
    <row r="8" spans="1:7" x14ac:dyDescent="0.25">
      <c r="A8" s="97">
        <v>5</v>
      </c>
      <c r="B8" s="45" t="s">
        <v>2</v>
      </c>
      <c r="C8" s="45">
        <v>2200600003</v>
      </c>
      <c r="D8" s="237">
        <v>2554250</v>
      </c>
      <c r="E8" s="238"/>
      <c r="F8" s="239"/>
      <c r="G8" s="53" t="s">
        <v>458</v>
      </c>
    </row>
    <row r="9" spans="1:7" ht="26.25" x14ac:dyDescent="0.25">
      <c r="A9" s="97">
        <v>6</v>
      </c>
      <c r="B9" s="74" t="s">
        <v>2</v>
      </c>
      <c r="C9" s="92">
        <v>2202000004</v>
      </c>
      <c r="D9" s="237">
        <v>15000</v>
      </c>
      <c r="E9" s="238"/>
      <c r="F9" s="239"/>
      <c r="G9" s="53" t="s">
        <v>346</v>
      </c>
    </row>
    <row r="10" spans="1:7" ht="15.75" x14ac:dyDescent="0.25">
      <c r="A10" s="97"/>
      <c r="B10" s="225" t="s">
        <v>551</v>
      </c>
      <c r="C10" s="226"/>
      <c r="D10" s="240">
        <f>SUM(D4:D9)</f>
        <v>11675470</v>
      </c>
      <c r="E10" s="241"/>
      <c r="F10" s="242"/>
      <c r="G10" s="53"/>
    </row>
    <row r="11" spans="1:7" x14ac:dyDescent="0.25">
      <c r="A11" s="97"/>
      <c r="B11" s="74"/>
      <c r="C11" s="92"/>
      <c r="D11" s="243"/>
      <c r="E11" s="244"/>
      <c r="F11" s="245"/>
      <c r="G11" s="53"/>
    </row>
    <row r="12" spans="1:7" x14ac:dyDescent="0.25">
      <c r="A12" s="97">
        <v>7</v>
      </c>
      <c r="B12" s="74" t="s">
        <v>2</v>
      </c>
      <c r="C12" s="92">
        <v>3112210001</v>
      </c>
      <c r="D12" s="243">
        <v>652680</v>
      </c>
      <c r="E12" s="244"/>
      <c r="F12" s="245"/>
      <c r="G12" s="104" t="s">
        <v>491</v>
      </c>
    </row>
    <row r="13" spans="1:7" ht="18" x14ac:dyDescent="0.25">
      <c r="A13" s="97"/>
      <c r="B13" s="231" t="s">
        <v>550</v>
      </c>
      <c r="C13" s="232"/>
      <c r="D13" s="233">
        <f>SUM(D10:D12)</f>
        <v>12328150</v>
      </c>
      <c r="E13" s="234"/>
      <c r="F13" s="235"/>
      <c r="G13" s="171"/>
    </row>
    <row r="14" spans="1:7" ht="18" x14ac:dyDescent="0.25">
      <c r="A14" s="97"/>
      <c r="B14" s="236"/>
      <c r="C14" s="236"/>
      <c r="D14" s="236"/>
      <c r="E14" s="236"/>
      <c r="F14" s="236"/>
      <c r="G14" s="171"/>
    </row>
  </sheetData>
  <mergeCells count="16">
    <mergeCell ref="B1:C1"/>
    <mergeCell ref="B13:C13"/>
    <mergeCell ref="D13:F13"/>
    <mergeCell ref="B14:F14"/>
    <mergeCell ref="D8:F8"/>
    <mergeCell ref="D9:F9"/>
    <mergeCell ref="B10:C10"/>
    <mergeCell ref="D10:F10"/>
    <mergeCell ref="D11:F11"/>
    <mergeCell ref="D12:F12"/>
    <mergeCell ref="B3:C3"/>
    <mergeCell ref="D3:F3"/>
    <mergeCell ref="D4:F4"/>
    <mergeCell ref="D5:F5"/>
    <mergeCell ref="D6:F6"/>
    <mergeCell ref="D7:F7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2"/>
  <sheetViews>
    <sheetView topLeftCell="A7" workbookViewId="0">
      <selection activeCell="A3" sqref="A3:F3"/>
    </sheetView>
  </sheetViews>
  <sheetFormatPr defaultRowHeight="15" x14ac:dyDescent="0.25"/>
  <cols>
    <col min="1" max="1" width="5.85546875" bestFit="1" customWidth="1"/>
    <col min="2" max="2" width="52" customWidth="1"/>
    <col min="3" max="3" width="14" bestFit="1" customWidth="1"/>
    <col min="4" max="4" width="15.85546875" bestFit="1" customWidth="1"/>
    <col min="5" max="5" width="13.42578125" bestFit="1" customWidth="1"/>
    <col min="6" max="6" width="17.5703125" bestFit="1" customWidth="1"/>
    <col min="7" max="7" width="23.140625" bestFit="1" customWidth="1"/>
  </cols>
  <sheetData>
    <row r="2" spans="1:9" x14ac:dyDescent="0.25">
      <c r="A2" s="6"/>
      <c r="C2" s="6"/>
      <c r="D2" s="6"/>
      <c r="E2" s="6"/>
    </row>
    <row r="3" spans="1:9" ht="15.75" x14ac:dyDescent="0.25">
      <c r="A3" s="230" t="s">
        <v>459</v>
      </c>
      <c r="B3" s="230"/>
      <c r="C3" s="230"/>
      <c r="D3" s="230"/>
      <c r="E3" s="230"/>
      <c r="F3" s="230"/>
      <c r="H3" s="12"/>
      <c r="I3" s="12"/>
    </row>
    <row r="4" spans="1:9" ht="15.75" x14ac:dyDescent="0.25">
      <c r="A4" s="105"/>
      <c r="B4" s="175"/>
      <c r="C4" s="175"/>
      <c r="D4" s="175"/>
      <c r="E4" s="175"/>
      <c r="F4" s="175"/>
      <c r="G4" s="175"/>
      <c r="H4" s="12"/>
      <c r="I4" s="12"/>
    </row>
    <row r="5" spans="1:9" ht="15.75" x14ac:dyDescent="0.25">
      <c r="A5" s="105"/>
      <c r="B5" s="1"/>
      <c r="C5" s="105"/>
      <c r="D5" s="105"/>
      <c r="E5" s="105"/>
      <c r="F5" s="1"/>
      <c r="G5" s="1"/>
      <c r="H5" s="12"/>
      <c r="I5" s="12"/>
    </row>
    <row r="6" spans="1:9" ht="16.5" thickBot="1" x14ac:dyDescent="0.3">
      <c r="A6" s="250" t="s">
        <v>460</v>
      </c>
      <c r="B6" s="250"/>
      <c r="C6" s="250"/>
      <c r="D6" s="106"/>
      <c r="E6" s="106"/>
      <c r="F6" s="107"/>
      <c r="G6" s="107"/>
      <c r="H6" s="12"/>
      <c r="I6" s="12"/>
    </row>
    <row r="7" spans="1:9" ht="15.75" x14ac:dyDescent="0.25">
      <c r="A7" s="9" t="s">
        <v>0</v>
      </c>
      <c r="B7" s="16" t="s">
        <v>461</v>
      </c>
      <c r="C7" s="108" t="s">
        <v>490</v>
      </c>
      <c r="D7" s="109" t="s">
        <v>4</v>
      </c>
      <c r="E7" s="110" t="s">
        <v>493</v>
      </c>
      <c r="F7" s="111" t="s">
        <v>495</v>
      </c>
      <c r="G7" s="112"/>
      <c r="H7" s="12"/>
      <c r="I7" s="12"/>
    </row>
    <row r="8" spans="1:9" ht="15.75" x14ac:dyDescent="0.25">
      <c r="A8" s="11">
        <v>1</v>
      </c>
      <c r="B8" s="113" t="s">
        <v>463</v>
      </c>
      <c r="C8" s="11">
        <v>29</v>
      </c>
      <c r="D8" s="11">
        <v>29</v>
      </c>
      <c r="E8" s="11">
        <v>20</v>
      </c>
      <c r="F8" s="114">
        <f>D8*E8</f>
        <v>580</v>
      </c>
      <c r="G8" s="115"/>
      <c r="H8" s="12"/>
      <c r="I8" s="12"/>
    </row>
    <row r="9" spans="1:9" ht="15.75" x14ac:dyDescent="0.25">
      <c r="A9" s="117">
        <v>2</v>
      </c>
      <c r="B9" s="116" t="s">
        <v>464</v>
      </c>
      <c r="C9" s="117">
        <v>29</v>
      </c>
      <c r="D9" s="117">
        <v>29</v>
      </c>
      <c r="E9" s="117">
        <v>1800</v>
      </c>
      <c r="F9" s="118">
        <f>D9*E9</f>
        <v>52200</v>
      </c>
      <c r="G9" s="119"/>
      <c r="H9" s="120"/>
      <c r="I9" s="120"/>
    </row>
    <row r="10" spans="1:9" ht="15.75" x14ac:dyDescent="0.25">
      <c r="A10" s="11">
        <v>3</v>
      </c>
      <c r="B10" s="2" t="s">
        <v>465</v>
      </c>
      <c r="C10" s="11"/>
      <c r="D10" s="11"/>
      <c r="E10" s="11"/>
      <c r="F10" s="114"/>
      <c r="G10" s="115"/>
      <c r="H10" s="12"/>
      <c r="I10" s="12"/>
    </row>
    <row r="11" spans="1:9" ht="16.5" thickBot="1" x14ac:dyDescent="0.3">
      <c r="A11" s="137"/>
      <c r="B11" s="121" t="s">
        <v>466</v>
      </c>
      <c r="C11" s="122"/>
      <c r="D11" s="122"/>
      <c r="E11" s="122"/>
      <c r="F11" s="123">
        <f>F8+F9</f>
        <v>52780</v>
      </c>
      <c r="G11" s="112"/>
      <c r="H11" s="12"/>
      <c r="I11" s="12"/>
    </row>
    <row r="12" spans="1:9" ht="15.75" x14ac:dyDescent="0.25">
      <c r="A12" s="124"/>
      <c r="B12" s="112"/>
      <c r="C12" s="124"/>
      <c r="D12" s="124"/>
      <c r="E12" s="124"/>
      <c r="F12" s="133"/>
      <c r="G12" s="112"/>
      <c r="H12" s="12"/>
      <c r="I12" s="12"/>
    </row>
    <row r="13" spans="1:9" ht="15.75" x14ac:dyDescent="0.25">
      <c r="A13" s="124"/>
      <c r="B13" s="112"/>
      <c r="C13" s="124"/>
      <c r="D13" s="124"/>
      <c r="E13" s="124"/>
      <c r="F13" s="112"/>
      <c r="G13" s="112"/>
      <c r="H13" s="12"/>
      <c r="I13" s="12"/>
    </row>
    <row r="14" spans="1:9" ht="16.5" thickBot="1" x14ac:dyDescent="0.3">
      <c r="A14" s="250" t="s">
        <v>467</v>
      </c>
      <c r="B14" s="250"/>
      <c r="C14" s="250"/>
      <c r="D14" s="124"/>
      <c r="E14" s="124"/>
      <c r="F14" s="112"/>
      <c r="G14" s="112"/>
      <c r="H14" s="12"/>
      <c r="I14" s="12"/>
    </row>
    <row r="15" spans="1:9" ht="15.75" x14ac:dyDescent="0.25">
      <c r="A15" s="138" t="s">
        <v>0</v>
      </c>
      <c r="B15" s="16" t="s">
        <v>461</v>
      </c>
      <c r="C15" s="108" t="s">
        <v>492</v>
      </c>
      <c r="D15" s="109" t="s">
        <v>4</v>
      </c>
      <c r="E15" s="110" t="s">
        <v>494</v>
      </c>
      <c r="F15" s="111" t="s">
        <v>496</v>
      </c>
      <c r="G15" s="12"/>
      <c r="H15" s="12"/>
      <c r="I15" s="12"/>
    </row>
    <row r="16" spans="1:9" ht="15.75" x14ac:dyDescent="0.25">
      <c r="A16" s="139">
        <v>1</v>
      </c>
      <c r="B16" s="113" t="s">
        <v>463</v>
      </c>
      <c r="C16" s="11">
        <v>10</v>
      </c>
      <c r="D16" s="11">
        <v>10</v>
      </c>
      <c r="E16" s="126">
        <v>20</v>
      </c>
      <c r="F16" s="127">
        <f>D16*E16</f>
        <v>200</v>
      </c>
      <c r="G16" s="12"/>
      <c r="H16" s="12"/>
      <c r="I16" s="12"/>
    </row>
    <row r="17" spans="1:9" ht="15.75" x14ac:dyDescent="0.25">
      <c r="A17" s="139">
        <v>2</v>
      </c>
      <c r="B17" s="116" t="s">
        <v>464</v>
      </c>
      <c r="C17" s="11">
        <v>10</v>
      </c>
      <c r="D17" s="11">
        <v>10</v>
      </c>
      <c r="E17" s="126">
        <v>1800</v>
      </c>
      <c r="F17" s="127">
        <f>D17*E17</f>
        <v>18000</v>
      </c>
      <c r="G17" s="12"/>
      <c r="H17" s="12"/>
      <c r="I17" s="12"/>
    </row>
    <row r="18" spans="1:9" ht="15.75" x14ac:dyDescent="0.25">
      <c r="A18" s="139">
        <v>3</v>
      </c>
      <c r="B18" s="2" t="s">
        <v>465</v>
      </c>
      <c r="C18" s="11"/>
      <c r="D18" s="11"/>
      <c r="E18" s="11"/>
      <c r="F18" s="114"/>
      <c r="G18" s="12"/>
      <c r="H18" s="12"/>
      <c r="I18" s="12"/>
    </row>
    <row r="19" spans="1:9" ht="16.5" thickBot="1" x14ac:dyDescent="0.3">
      <c r="A19" s="137"/>
      <c r="B19" s="121" t="s">
        <v>466</v>
      </c>
      <c r="C19" s="122"/>
      <c r="D19" s="122"/>
      <c r="E19" s="122"/>
      <c r="F19" s="123">
        <f>SUM(F16:F18)</f>
        <v>18200</v>
      </c>
      <c r="G19" s="12"/>
      <c r="H19" s="12"/>
      <c r="I19" s="12"/>
    </row>
    <row r="20" spans="1:9" ht="15.75" x14ac:dyDescent="0.25">
      <c r="A20" s="124"/>
      <c r="B20" s="112"/>
      <c r="C20" s="124"/>
      <c r="D20" s="124"/>
      <c r="E20" s="124"/>
      <c r="F20" s="133"/>
      <c r="G20" s="12"/>
      <c r="H20" s="12"/>
      <c r="I20" s="12"/>
    </row>
    <row r="21" spans="1:9" ht="15.75" x14ac:dyDescent="0.25">
      <c r="A21" s="125"/>
      <c r="B21" s="12"/>
      <c r="C21" s="125"/>
      <c r="D21" s="125"/>
      <c r="E21" s="125"/>
      <c r="F21" s="12"/>
      <c r="G21" s="12"/>
      <c r="H21" s="12"/>
      <c r="I21" s="12"/>
    </row>
    <row r="22" spans="1:9" ht="16.5" thickBot="1" x14ac:dyDescent="0.3">
      <c r="A22" s="250" t="s">
        <v>469</v>
      </c>
      <c r="B22" s="250"/>
      <c r="C22" s="250"/>
      <c r="D22" s="250"/>
      <c r="E22" s="250"/>
      <c r="F22" s="112"/>
      <c r="G22" s="107"/>
      <c r="H22" s="12"/>
      <c r="I22" s="12"/>
    </row>
    <row r="23" spans="1:9" ht="15.75" x14ac:dyDescent="0.25">
      <c r="A23" s="138" t="s">
        <v>0</v>
      </c>
      <c r="B23" s="128" t="s">
        <v>461</v>
      </c>
      <c r="C23" s="110" t="s">
        <v>492</v>
      </c>
      <c r="D23" s="110" t="s">
        <v>470</v>
      </c>
      <c r="E23" s="110" t="s">
        <v>4</v>
      </c>
      <c r="F23" s="128" t="s">
        <v>493</v>
      </c>
      <c r="G23" s="111" t="s">
        <v>462</v>
      </c>
      <c r="H23" s="12"/>
      <c r="I23" s="12"/>
    </row>
    <row r="24" spans="1:9" ht="15.75" x14ac:dyDescent="0.25">
      <c r="A24" s="139">
        <v>1</v>
      </c>
      <c r="B24" s="2" t="s">
        <v>471</v>
      </c>
      <c r="C24" s="11">
        <v>1</v>
      </c>
      <c r="D24" s="11">
        <v>5</v>
      </c>
      <c r="E24" s="11">
        <f t="shared" ref="E24:E30" si="0">C24*D24</f>
        <v>5</v>
      </c>
      <c r="F24" s="129">
        <v>2000</v>
      </c>
      <c r="G24" s="127">
        <f>E24*F24</f>
        <v>10000</v>
      </c>
      <c r="H24" s="12"/>
      <c r="I24" s="12"/>
    </row>
    <row r="25" spans="1:9" ht="15.75" x14ac:dyDescent="0.25">
      <c r="A25" s="139">
        <v>2</v>
      </c>
      <c r="B25" s="116" t="s">
        <v>464</v>
      </c>
      <c r="C25" s="11">
        <v>2</v>
      </c>
      <c r="D25" s="11">
        <v>5</v>
      </c>
      <c r="E25" s="11">
        <f t="shared" si="0"/>
        <v>10</v>
      </c>
      <c r="F25" s="129">
        <v>1800</v>
      </c>
      <c r="G25" s="127">
        <f t="shared" ref="G25:G30" si="1">E25*F25</f>
        <v>18000</v>
      </c>
      <c r="H25" s="12"/>
      <c r="I25" s="12"/>
    </row>
    <row r="26" spans="1:9" ht="15.75" x14ac:dyDescent="0.25">
      <c r="A26" s="139">
        <v>3</v>
      </c>
      <c r="B26" s="2" t="s">
        <v>472</v>
      </c>
      <c r="C26" s="11">
        <v>5</v>
      </c>
      <c r="D26" s="11">
        <v>5</v>
      </c>
      <c r="E26" s="11">
        <f t="shared" si="0"/>
        <v>25</v>
      </c>
      <c r="F26" s="129">
        <v>20</v>
      </c>
      <c r="G26" s="127">
        <f t="shared" si="1"/>
        <v>500</v>
      </c>
      <c r="H26" s="12"/>
      <c r="I26" s="12"/>
    </row>
    <row r="27" spans="1:9" ht="15.75" x14ac:dyDescent="0.25">
      <c r="A27" s="139">
        <v>4</v>
      </c>
      <c r="B27" s="116" t="s">
        <v>473</v>
      </c>
      <c r="C27" s="11">
        <v>0.5</v>
      </c>
      <c r="D27" s="11">
        <v>5</v>
      </c>
      <c r="E27" s="11">
        <f t="shared" si="0"/>
        <v>2.5</v>
      </c>
      <c r="F27" s="129">
        <v>300</v>
      </c>
      <c r="G27" s="127">
        <f t="shared" si="1"/>
        <v>750</v>
      </c>
      <c r="H27" s="12"/>
      <c r="I27" s="12"/>
    </row>
    <row r="28" spans="1:9" ht="15.75" x14ac:dyDescent="0.25">
      <c r="A28" s="139">
        <v>5</v>
      </c>
      <c r="B28" s="113" t="s">
        <v>463</v>
      </c>
      <c r="C28" s="130">
        <v>2</v>
      </c>
      <c r="D28" s="11">
        <v>5</v>
      </c>
      <c r="E28" s="11">
        <f t="shared" si="0"/>
        <v>10</v>
      </c>
      <c r="F28" s="129">
        <v>20</v>
      </c>
      <c r="G28" s="127">
        <f t="shared" si="1"/>
        <v>200</v>
      </c>
      <c r="H28" s="12"/>
      <c r="I28" s="12"/>
    </row>
    <row r="29" spans="1:9" ht="15.75" x14ac:dyDescent="0.25">
      <c r="A29" s="139">
        <v>6</v>
      </c>
      <c r="B29" s="113" t="s">
        <v>474</v>
      </c>
      <c r="C29" s="130">
        <v>1</v>
      </c>
      <c r="D29" s="11">
        <v>5</v>
      </c>
      <c r="E29" s="11">
        <f t="shared" si="0"/>
        <v>5</v>
      </c>
      <c r="F29" s="129">
        <v>500</v>
      </c>
      <c r="G29" s="127">
        <f t="shared" si="1"/>
        <v>2500</v>
      </c>
      <c r="H29" s="12"/>
      <c r="I29" s="12"/>
    </row>
    <row r="30" spans="1:9" ht="15.75" x14ac:dyDescent="0.25">
      <c r="A30" s="139">
        <v>7</v>
      </c>
      <c r="B30" s="113" t="s">
        <v>475</v>
      </c>
      <c r="C30" s="130">
        <v>1</v>
      </c>
      <c r="D30" s="11">
        <v>5</v>
      </c>
      <c r="E30" s="11">
        <f t="shared" si="0"/>
        <v>5</v>
      </c>
      <c r="F30" s="129">
        <v>200</v>
      </c>
      <c r="G30" s="127">
        <f t="shared" si="1"/>
        <v>1000</v>
      </c>
      <c r="H30" s="12"/>
      <c r="I30" s="12"/>
    </row>
    <row r="31" spans="1:9" ht="15.75" x14ac:dyDescent="0.25">
      <c r="A31" s="139">
        <v>8</v>
      </c>
      <c r="B31" s="113" t="s">
        <v>465</v>
      </c>
      <c r="C31" s="11">
        <v>1</v>
      </c>
      <c r="D31" s="11">
        <v>5</v>
      </c>
      <c r="E31" s="11">
        <v>11</v>
      </c>
      <c r="F31" s="129">
        <v>500</v>
      </c>
      <c r="G31" s="127">
        <f>E31*F31</f>
        <v>5500</v>
      </c>
      <c r="H31" s="12"/>
      <c r="I31" s="12"/>
    </row>
    <row r="32" spans="1:9" ht="16.5" thickBot="1" x14ac:dyDescent="0.3">
      <c r="A32" s="140"/>
      <c r="B32" s="121" t="s">
        <v>466</v>
      </c>
      <c r="C32" s="122"/>
      <c r="D32" s="122"/>
      <c r="E32" s="122"/>
      <c r="F32" s="121"/>
      <c r="G32" s="123">
        <f>SUM(G24:G31)</f>
        <v>38450</v>
      </c>
      <c r="H32" s="12"/>
      <c r="I32" s="12"/>
    </row>
    <row r="33" spans="1:9" ht="15.75" x14ac:dyDescent="0.25">
      <c r="A33" s="125"/>
      <c r="B33" s="12"/>
      <c r="C33" s="125"/>
      <c r="D33" s="125"/>
      <c r="E33" s="125"/>
      <c r="F33" s="12"/>
      <c r="G33" s="12"/>
      <c r="H33" s="12"/>
      <c r="I33" s="12"/>
    </row>
    <row r="34" spans="1:9" ht="16.5" thickBot="1" x14ac:dyDescent="0.3">
      <c r="A34" s="125"/>
      <c r="B34" s="121" t="s">
        <v>476</v>
      </c>
      <c r="C34" s="125"/>
      <c r="D34" s="125"/>
      <c r="E34" s="125"/>
      <c r="F34" s="12"/>
      <c r="G34" s="131">
        <f>G32+F19+F11</f>
        <v>109430</v>
      </c>
      <c r="H34" s="12"/>
      <c r="I34" s="12"/>
    </row>
    <row r="35" spans="1:9" ht="15.75" x14ac:dyDescent="0.25">
      <c r="A35" s="125"/>
      <c r="B35" s="12"/>
      <c r="C35" s="125"/>
      <c r="D35" s="125"/>
      <c r="E35" s="125"/>
      <c r="F35" s="12"/>
      <c r="G35" s="12"/>
      <c r="H35" s="12"/>
      <c r="I35" s="12"/>
    </row>
    <row r="36" spans="1:9" ht="15.75" x14ac:dyDescent="0.25">
      <c r="A36" s="249" t="s">
        <v>477</v>
      </c>
      <c r="B36" s="249"/>
      <c r="C36" s="249"/>
      <c r="D36" s="249"/>
      <c r="E36" s="249"/>
      <c r="F36" s="107"/>
      <c r="G36" s="107"/>
      <c r="H36" s="12"/>
      <c r="I36" s="12"/>
    </row>
    <row r="37" spans="1:9" ht="16.5" thickBot="1" x14ac:dyDescent="0.3">
      <c r="A37" s="132"/>
      <c r="B37" s="176"/>
      <c r="C37" s="132"/>
      <c r="D37" s="132"/>
      <c r="E37" s="132"/>
      <c r="F37" s="107"/>
      <c r="G37" s="107"/>
      <c r="H37" s="12"/>
      <c r="I37" s="12"/>
    </row>
    <row r="38" spans="1:9" ht="15.75" x14ac:dyDescent="0.25">
      <c r="A38" s="138" t="s">
        <v>0</v>
      </c>
      <c r="B38" s="128" t="s">
        <v>461</v>
      </c>
      <c r="C38" s="110" t="s">
        <v>468</v>
      </c>
      <c r="D38" s="110" t="s">
        <v>478</v>
      </c>
      <c r="E38" s="110" t="s">
        <v>4</v>
      </c>
      <c r="F38" s="128" t="s">
        <v>493</v>
      </c>
      <c r="G38" s="111" t="s">
        <v>462</v>
      </c>
      <c r="H38" s="12"/>
      <c r="I38" s="12"/>
    </row>
    <row r="39" spans="1:9" ht="15.75" x14ac:dyDescent="0.25">
      <c r="A39" s="139">
        <v>1</v>
      </c>
      <c r="B39" s="2" t="s">
        <v>471</v>
      </c>
      <c r="C39" s="11">
        <v>1</v>
      </c>
      <c r="D39" s="11">
        <v>33</v>
      </c>
      <c r="E39" s="11">
        <f t="shared" ref="E39:E45" si="2">C39*D39</f>
        <v>33</v>
      </c>
      <c r="F39" s="129">
        <v>2000</v>
      </c>
      <c r="G39" s="127">
        <f>E39*F39</f>
        <v>66000</v>
      </c>
      <c r="H39" s="12"/>
      <c r="I39" s="12"/>
    </row>
    <row r="40" spans="1:9" ht="15.75" x14ac:dyDescent="0.25">
      <c r="A40" s="139">
        <v>2</v>
      </c>
      <c r="B40" s="116" t="s">
        <v>464</v>
      </c>
      <c r="C40" s="11">
        <v>1</v>
      </c>
      <c r="D40" s="11">
        <v>33</v>
      </c>
      <c r="E40" s="11">
        <f t="shared" si="2"/>
        <v>33</v>
      </c>
      <c r="F40" s="129">
        <v>1800</v>
      </c>
      <c r="G40" s="127">
        <f t="shared" ref="G40:G45" si="3">E40*F40</f>
        <v>59400</v>
      </c>
      <c r="H40" s="12"/>
      <c r="I40" s="12"/>
    </row>
    <row r="41" spans="1:9" ht="15.75" x14ac:dyDescent="0.25">
      <c r="A41" s="139">
        <v>3</v>
      </c>
      <c r="B41" s="2" t="s">
        <v>472</v>
      </c>
      <c r="C41" s="11">
        <v>5</v>
      </c>
      <c r="D41" s="11">
        <v>33</v>
      </c>
      <c r="E41" s="11">
        <f t="shared" si="2"/>
        <v>165</v>
      </c>
      <c r="F41" s="129">
        <v>20</v>
      </c>
      <c r="G41" s="127">
        <f t="shared" si="3"/>
        <v>3300</v>
      </c>
      <c r="H41" s="12"/>
      <c r="I41" s="12"/>
    </row>
    <row r="42" spans="1:9" ht="15.75" x14ac:dyDescent="0.25">
      <c r="A42" s="139">
        <v>4</v>
      </c>
      <c r="B42" s="116" t="s">
        <v>473</v>
      </c>
      <c r="C42" s="11">
        <v>0.5</v>
      </c>
      <c r="D42" s="11">
        <v>33</v>
      </c>
      <c r="E42" s="11">
        <f t="shared" si="2"/>
        <v>16.5</v>
      </c>
      <c r="F42" s="129">
        <v>300</v>
      </c>
      <c r="G42" s="127">
        <f t="shared" si="3"/>
        <v>4950</v>
      </c>
      <c r="H42" s="12"/>
      <c r="I42" s="12"/>
    </row>
    <row r="43" spans="1:9" ht="15.75" x14ac:dyDescent="0.25">
      <c r="A43" s="139">
        <v>5</v>
      </c>
      <c r="B43" s="2" t="s">
        <v>463</v>
      </c>
      <c r="C43" s="11">
        <v>2</v>
      </c>
      <c r="D43" s="11">
        <v>33</v>
      </c>
      <c r="E43" s="11">
        <f t="shared" si="2"/>
        <v>66</v>
      </c>
      <c r="F43" s="129">
        <v>20</v>
      </c>
      <c r="G43" s="127">
        <f t="shared" si="3"/>
        <v>1320</v>
      </c>
      <c r="H43" s="12"/>
      <c r="I43" s="12"/>
    </row>
    <row r="44" spans="1:9" ht="15.75" x14ac:dyDescent="0.25">
      <c r="A44" s="139">
        <v>6</v>
      </c>
      <c r="B44" s="2" t="s">
        <v>474</v>
      </c>
      <c r="C44" s="11">
        <v>1</v>
      </c>
      <c r="D44" s="11">
        <v>33</v>
      </c>
      <c r="E44" s="11">
        <f t="shared" si="2"/>
        <v>33</v>
      </c>
      <c r="F44" s="129">
        <v>500</v>
      </c>
      <c r="G44" s="127">
        <f t="shared" si="3"/>
        <v>16500</v>
      </c>
      <c r="H44" s="12"/>
      <c r="I44" s="12"/>
    </row>
    <row r="45" spans="1:9" ht="15.75" x14ac:dyDescent="0.25">
      <c r="A45" s="139">
        <v>7</v>
      </c>
      <c r="B45" s="2" t="s">
        <v>475</v>
      </c>
      <c r="C45" s="11">
        <v>1</v>
      </c>
      <c r="D45" s="11">
        <v>33</v>
      </c>
      <c r="E45" s="11">
        <f t="shared" si="2"/>
        <v>33</v>
      </c>
      <c r="F45" s="129">
        <v>200</v>
      </c>
      <c r="G45" s="127">
        <f t="shared" si="3"/>
        <v>6600</v>
      </c>
      <c r="H45" s="12"/>
      <c r="I45" s="12"/>
    </row>
    <row r="46" spans="1:9" ht="15.75" x14ac:dyDescent="0.25">
      <c r="A46" s="139">
        <v>8</v>
      </c>
      <c r="B46" s="2" t="s">
        <v>465</v>
      </c>
      <c r="C46" s="11">
        <v>1</v>
      </c>
      <c r="D46" s="11">
        <v>33</v>
      </c>
      <c r="E46" s="11">
        <v>33</v>
      </c>
      <c r="F46" s="129">
        <v>500</v>
      </c>
      <c r="G46" s="127">
        <f>E46*F46</f>
        <v>16500</v>
      </c>
      <c r="H46" s="12"/>
      <c r="I46" s="12"/>
    </row>
    <row r="47" spans="1:9" ht="16.5" thickBot="1" x14ac:dyDescent="0.3">
      <c r="A47" s="140"/>
      <c r="B47" s="121" t="s">
        <v>466</v>
      </c>
      <c r="C47" s="122"/>
      <c r="D47" s="122"/>
      <c r="E47" s="122"/>
      <c r="F47" s="121"/>
      <c r="G47" s="123">
        <f>SUM(G39:G46)</f>
        <v>174570</v>
      </c>
      <c r="H47" s="12"/>
      <c r="I47" s="12"/>
    </row>
    <row r="48" spans="1:9" ht="15.75" x14ac:dyDescent="0.25">
      <c r="A48" s="105"/>
      <c r="B48" s="1"/>
      <c r="C48" s="105"/>
      <c r="D48" s="105"/>
      <c r="E48" s="105"/>
      <c r="F48" s="1"/>
      <c r="G48" s="1"/>
      <c r="H48" s="12"/>
      <c r="I48" s="12"/>
    </row>
    <row r="49" spans="1:9" ht="16.5" thickBot="1" x14ac:dyDescent="0.3">
      <c r="A49" s="105"/>
      <c r="B49" s="121" t="s">
        <v>479</v>
      </c>
      <c r="C49" s="105"/>
      <c r="D49" s="105"/>
      <c r="E49" s="105"/>
      <c r="F49" s="1"/>
      <c r="G49" s="123">
        <f>G47</f>
        <v>174570</v>
      </c>
      <c r="H49" s="12"/>
      <c r="I49" s="12"/>
    </row>
    <row r="50" spans="1:9" ht="16.5" thickBot="1" x14ac:dyDescent="0.3">
      <c r="A50" s="249" t="s">
        <v>480</v>
      </c>
      <c r="B50" s="249"/>
      <c r="C50" s="249"/>
      <c r="D50" s="249"/>
      <c r="E50" s="249"/>
      <c r="F50" s="107"/>
      <c r="G50" s="107"/>
      <c r="H50" s="12"/>
      <c r="I50" s="12"/>
    </row>
    <row r="51" spans="1:9" ht="15.75" x14ac:dyDescent="0.25">
      <c r="A51" s="138" t="s">
        <v>0</v>
      </c>
      <c r="B51" s="128" t="s">
        <v>461</v>
      </c>
      <c r="C51" s="142" t="s">
        <v>468</v>
      </c>
      <c r="D51" s="110" t="s">
        <v>478</v>
      </c>
      <c r="E51" s="110" t="s">
        <v>4</v>
      </c>
      <c r="F51" s="128" t="s">
        <v>497</v>
      </c>
      <c r="G51" s="111" t="s">
        <v>462</v>
      </c>
      <c r="H51" s="12"/>
      <c r="I51" s="12"/>
    </row>
    <row r="52" spans="1:9" ht="15.75" x14ac:dyDescent="0.25">
      <c r="A52" s="139">
        <v>1</v>
      </c>
      <c r="B52" s="2" t="s">
        <v>481</v>
      </c>
      <c r="C52" s="11">
        <v>1</v>
      </c>
      <c r="D52" s="11">
        <v>52</v>
      </c>
      <c r="E52" s="11">
        <f t="shared" ref="E52:E58" si="4">C52*D52</f>
        <v>52</v>
      </c>
      <c r="F52" s="129">
        <v>2000</v>
      </c>
      <c r="G52" s="127">
        <f>E52*F52</f>
        <v>104000</v>
      </c>
      <c r="H52" s="12"/>
      <c r="I52" s="12"/>
    </row>
    <row r="53" spans="1:9" ht="15.75" x14ac:dyDescent="0.25">
      <c r="A53" s="139">
        <v>2</v>
      </c>
      <c r="B53" s="116" t="s">
        <v>464</v>
      </c>
      <c r="C53" s="11">
        <v>2</v>
      </c>
      <c r="D53" s="11">
        <v>52</v>
      </c>
      <c r="E53" s="11">
        <f t="shared" si="4"/>
        <v>104</v>
      </c>
      <c r="F53" s="129">
        <v>1800</v>
      </c>
      <c r="G53" s="127">
        <f t="shared" ref="G53:G57" si="5">E53*F53</f>
        <v>187200</v>
      </c>
      <c r="H53" s="12"/>
      <c r="I53" s="12"/>
    </row>
    <row r="54" spans="1:9" ht="15.75" x14ac:dyDescent="0.25">
      <c r="A54" s="139">
        <v>3</v>
      </c>
      <c r="B54" s="2" t="s">
        <v>472</v>
      </c>
      <c r="C54" s="11">
        <v>5</v>
      </c>
      <c r="D54" s="11">
        <v>52</v>
      </c>
      <c r="E54" s="11">
        <f t="shared" si="4"/>
        <v>260</v>
      </c>
      <c r="F54" s="129">
        <v>20</v>
      </c>
      <c r="G54" s="127">
        <f t="shared" si="5"/>
        <v>5200</v>
      </c>
      <c r="H54" s="12"/>
      <c r="I54" s="12"/>
    </row>
    <row r="55" spans="1:9" ht="15.75" x14ac:dyDescent="0.25">
      <c r="A55" s="139">
        <v>4</v>
      </c>
      <c r="B55" s="116" t="s">
        <v>473</v>
      </c>
      <c r="C55" s="11">
        <v>0.5</v>
      </c>
      <c r="D55" s="11">
        <v>52</v>
      </c>
      <c r="E55" s="11">
        <f t="shared" si="4"/>
        <v>26</v>
      </c>
      <c r="F55" s="129">
        <v>300</v>
      </c>
      <c r="G55" s="127">
        <f t="shared" si="5"/>
        <v>7800</v>
      </c>
      <c r="H55" s="12"/>
      <c r="I55" s="12"/>
    </row>
    <row r="56" spans="1:9" ht="15.75" x14ac:dyDescent="0.25">
      <c r="A56" s="139">
        <v>5</v>
      </c>
      <c r="B56" s="2" t="s">
        <v>463</v>
      </c>
      <c r="C56" s="11">
        <v>2</v>
      </c>
      <c r="D56" s="11">
        <v>52</v>
      </c>
      <c r="E56" s="11">
        <f t="shared" si="4"/>
        <v>104</v>
      </c>
      <c r="F56" s="129">
        <v>20</v>
      </c>
      <c r="G56" s="127">
        <f t="shared" si="5"/>
        <v>2080</v>
      </c>
      <c r="H56" s="12"/>
      <c r="I56" s="12"/>
    </row>
    <row r="57" spans="1:9" ht="15.75" x14ac:dyDescent="0.25">
      <c r="A57" s="139">
        <v>6</v>
      </c>
      <c r="B57" s="2" t="s">
        <v>474</v>
      </c>
      <c r="C57" s="11">
        <v>1</v>
      </c>
      <c r="D57" s="11">
        <v>52</v>
      </c>
      <c r="E57" s="11">
        <f t="shared" si="4"/>
        <v>52</v>
      </c>
      <c r="F57" s="129">
        <v>500</v>
      </c>
      <c r="G57" s="127">
        <f t="shared" si="5"/>
        <v>26000</v>
      </c>
      <c r="H57" s="12"/>
      <c r="I57" s="12"/>
    </row>
    <row r="58" spans="1:9" ht="15.75" x14ac:dyDescent="0.25">
      <c r="A58" s="139">
        <v>7</v>
      </c>
      <c r="B58" s="2" t="s">
        <v>475</v>
      </c>
      <c r="C58" s="11">
        <v>1</v>
      </c>
      <c r="D58" s="11">
        <v>52</v>
      </c>
      <c r="E58" s="11">
        <f t="shared" si="4"/>
        <v>52</v>
      </c>
      <c r="F58" s="129">
        <v>200</v>
      </c>
      <c r="G58" s="127">
        <f>E58*F58</f>
        <v>10400</v>
      </c>
      <c r="H58" s="12"/>
      <c r="I58" s="12"/>
    </row>
    <row r="59" spans="1:9" ht="15.75" x14ac:dyDescent="0.25">
      <c r="A59" s="139">
        <v>8</v>
      </c>
      <c r="B59" s="2" t="s">
        <v>465</v>
      </c>
      <c r="C59" s="11">
        <v>1</v>
      </c>
      <c r="D59" s="11">
        <v>52</v>
      </c>
      <c r="E59" s="11">
        <v>52</v>
      </c>
      <c r="F59" s="129">
        <v>500</v>
      </c>
      <c r="G59" s="127">
        <f>E59*F59</f>
        <v>26000</v>
      </c>
      <c r="H59" s="12"/>
      <c r="I59" s="12"/>
    </row>
    <row r="60" spans="1:9" ht="16.5" thickBot="1" x14ac:dyDescent="0.3">
      <c r="A60" s="137"/>
      <c r="B60" s="121" t="s">
        <v>466</v>
      </c>
      <c r="C60" s="122"/>
      <c r="D60" s="122"/>
      <c r="E60" s="122"/>
      <c r="F60" s="121"/>
      <c r="G60" s="123">
        <f>SUM(G52:G59)</f>
        <v>368680</v>
      </c>
      <c r="H60" s="12"/>
      <c r="I60" s="12"/>
    </row>
    <row r="61" spans="1:9" ht="15.75" x14ac:dyDescent="0.25">
      <c r="A61" s="124"/>
      <c r="B61" s="112"/>
      <c r="C61" s="124"/>
      <c r="D61" s="124"/>
      <c r="E61" s="124"/>
      <c r="F61" s="112"/>
      <c r="G61" s="133"/>
      <c r="H61" s="12"/>
      <c r="I61" s="12"/>
    </row>
    <row r="62" spans="1:9" ht="16.5" thickBot="1" x14ac:dyDescent="0.3">
      <c r="A62" s="124"/>
      <c r="B62" s="121" t="s">
        <v>482</v>
      </c>
      <c r="C62" s="124"/>
      <c r="D62" s="124"/>
      <c r="E62" s="124"/>
      <c r="F62" s="112"/>
      <c r="G62" s="133">
        <f>G60</f>
        <v>368680</v>
      </c>
      <c r="H62" s="12"/>
      <c r="I62" s="12"/>
    </row>
    <row r="63" spans="1:9" ht="15.75" x14ac:dyDescent="0.25">
      <c r="A63" s="124"/>
      <c r="B63" s="112"/>
      <c r="C63" s="124"/>
      <c r="D63" s="124"/>
      <c r="E63" s="124"/>
      <c r="F63" s="112"/>
      <c r="G63" s="133"/>
      <c r="H63" s="12"/>
      <c r="I63" s="12"/>
    </row>
    <row r="64" spans="1:9" ht="15.75" x14ac:dyDescent="0.25">
      <c r="A64" s="124"/>
      <c r="B64" s="176" t="s">
        <v>483</v>
      </c>
      <c r="C64" s="124"/>
      <c r="D64" s="124"/>
      <c r="E64" s="124"/>
      <c r="F64" s="112"/>
      <c r="G64" s="134">
        <f>G62+G49+G34</f>
        <v>652680</v>
      </c>
      <c r="H64" s="12"/>
      <c r="I64" s="12"/>
    </row>
    <row r="65" spans="1:9" ht="15.75" x14ac:dyDescent="0.25">
      <c r="A65" s="105"/>
      <c r="B65" s="1"/>
      <c r="C65" s="105"/>
      <c r="D65" s="105"/>
      <c r="E65" s="105"/>
      <c r="F65" s="1"/>
      <c r="G65" s="1"/>
      <c r="H65" s="12"/>
      <c r="I65" s="12"/>
    </row>
    <row r="66" spans="1:9" ht="15.75" x14ac:dyDescent="0.25">
      <c r="A66" s="132"/>
      <c r="B66" s="176" t="s">
        <v>484</v>
      </c>
      <c r="C66" s="132"/>
      <c r="D66" s="132"/>
      <c r="E66" s="132"/>
      <c r="F66" s="176"/>
      <c r="G66" s="176"/>
      <c r="H66" s="12"/>
      <c r="I66" s="12"/>
    </row>
    <row r="67" spans="1:9" ht="15.75" x14ac:dyDescent="0.25">
      <c r="A67" s="132"/>
      <c r="B67" s="1" t="s">
        <v>485</v>
      </c>
      <c r="C67" s="132"/>
      <c r="D67" s="132"/>
      <c r="E67" s="132"/>
      <c r="F67" s="176"/>
      <c r="G67" s="176"/>
      <c r="H67" s="12"/>
      <c r="I67" s="12"/>
    </row>
    <row r="68" spans="1:9" ht="15.75" x14ac:dyDescent="0.25">
      <c r="A68" s="132"/>
      <c r="B68" s="1" t="s">
        <v>486</v>
      </c>
      <c r="C68" s="132"/>
      <c r="D68" s="132"/>
      <c r="E68" s="132"/>
      <c r="F68" s="176"/>
      <c r="G68" s="176"/>
      <c r="H68" s="12"/>
      <c r="I68" s="12"/>
    </row>
    <row r="69" spans="1:9" ht="15.75" x14ac:dyDescent="0.25">
      <c r="A69" s="105"/>
      <c r="B69" s="1" t="s">
        <v>487</v>
      </c>
      <c r="C69" s="125"/>
      <c r="D69" s="125"/>
      <c r="E69" s="125"/>
      <c r="F69" s="12"/>
      <c r="G69" s="12"/>
      <c r="H69" s="12"/>
      <c r="I69" s="12"/>
    </row>
    <row r="70" spans="1:9" ht="15.75" x14ac:dyDescent="0.25">
      <c r="A70" s="141"/>
      <c r="B70" s="135" t="s">
        <v>488</v>
      </c>
      <c r="C70" s="136"/>
      <c r="D70" s="136"/>
      <c r="E70" s="136"/>
      <c r="F70" s="120"/>
      <c r="G70" s="120"/>
      <c r="H70" s="120"/>
      <c r="I70" s="120"/>
    </row>
    <row r="71" spans="1:9" ht="15.75" x14ac:dyDescent="0.25">
      <c r="A71" s="125"/>
      <c r="B71" s="1" t="s">
        <v>489</v>
      </c>
      <c r="C71" s="125"/>
      <c r="D71" s="125"/>
      <c r="E71" s="125"/>
      <c r="F71" s="12"/>
      <c r="G71" s="12"/>
      <c r="H71" s="12"/>
      <c r="I71" s="12"/>
    </row>
    <row r="72" spans="1:9" ht="15.75" x14ac:dyDescent="0.25">
      <c r="A72" s="125"/>
      <c r="B72" s="12"/>
      <c r="C72" s="125"/>
      <c r="D72" s="125"/>
      <c r="E72" s="125"/>
      <c r="F72" s="12"/>
      <c r="G72" s="12"/>
      <c r="H72" s="12"/>
      <c r="I72" s="12"/>
    </row>
  </sheetData>
  <mergeCells count="6">
    <mergeCell ref="A50:E50"/>
    <mergeCell ref="A3:F3"/>
    <mergeCell ref="A6:C6"/>
    <mergeCell ref="A14:C14"/>
    <mergeCell ref="A22:E22"/>
    <mergeCell ref="A36:E36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3" sqref="K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Bids 2018</vt:lpstr>
      <vt:lpstr>GL 2200600002</vt:lpstr>
      <vt:lpstr>toner 2026</vt:lpstr>
      <vt:lpstr>PARTS 2026</vt:lpstr>
      <vt:lpstr>TECH EQPT 2026</vt:lpstr>
      <vt:lpstr>SOFTWARE 2026</vt:lpstr>
      <vt:lpstr>MAINT EQPT TECH 2026</vt:lpstr>
      <vt:lpstr>ICT 2026</vt:lpstr>
      <vt:lpstr>SUMMARY</vt:lpstr>
      <vt:lpstr>HRMIS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it sch</cp:lastModifiedBy>
  <cp:lastPrinted>2025-09-10T09:12:23Z</cp:lastPrinted>
  <dcterms:created xsi:type="dcterms:W3CDTF">2013-08-26T18:40:34Z</dcterms:created>
  <dcterms:modified xsi:type="dcterms:W3CDTF">2026-06-11T12:45:19Z</dcterms:modified>
</cp:coreProperties>
</file>